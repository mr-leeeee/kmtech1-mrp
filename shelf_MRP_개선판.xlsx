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현황_대시보드" sheetId="1" state="visible" r:id="rId1"/>
    <sheet xmlns:r="http://schemas.openxmlformats.org/officeDocument/2006/relationships" name="품목_기준정보" sheetId="2" state="visible" r:id="rId2"/>
    <sheet xmlns:r="http://schemas.openxmlformats.org/officeDocument/2006/relationships" name="BOM_정규형" sheetId="3" state="visible" r:id="rId3"/>
    <sheet xmlns:r="http://schemas.openxmlformats.org/officeDocument/2006/relationships" name="생산_실적일지" sheetId="4" state="visible" r:id="rId4"/>
    <sheet xmlns:r="http://schemas.openxmlformats.org/officeDocument/2006/relationships" name="자재_입출고원장" sheetId="5" state="visible" r:id="rId5"/>
    <sheet xmlns:r="http://schemas.openxmlformats.org/officeDocument/2006/relationships" name="발주_미입고관리" sheetId="6" state="visible" r:id="rId6"/>
    <sheet xmlns:r="http://schemas.openxmlformats.org/officeDocument/2006/relationships" name="사용_설명서" sheetId="7" state="visible" r:id="rId7"/>
    <sheet xmlns:r="http://schemas.openxmlformats.org/officeDocument/2006/relationships" name="BOM_매트릭스(참고용)" sheetId="8" state="visible" r:id="rId8"/>
    <sheet xmlns:r="http://schemas.openxmlformats.org/officeDocument/2006/relationships" name="기존_참고자료" sheetId="9" state="visible" r:id="rId9"/>
    <sheet xmlns:r="http://schemas.openxmlformats.org/officeDocument/2006/relationships" name="완제품_출하관리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맑은 고딕"/>
      <charset val="134"/>
      <color theme="1"/>
      <sz val="11"/>
      <scheme val="minor"/>
    </font>
    <font>
      <name val="Malgun Gothic"/>
      <charset val="134"/>
      <color rgb="FF000000"/>
      <sz val="9.5"/>
    </font>
    <font>
      <name val="Malgun Gothic"/>
      <charset val="134"/>
      <b val="1"/>
      <color rgb="FF1F4E78"/>
      <sz val="15"/>
    </font>
    <font>
      <name val="Malgun Gothic"/>
      <charset val="134"/>
      <color rgb="FF595959"/>
      <sz val="9"/>
    </font>
    <font>
      <name val="Malgun Gothic"/>
      <charset val="134"/>
      <b val="1"/>
      <color rgb="FFFFFFFF"/>
      <sz val="10"/>
    </font>
    <font>
      <name val="Malgun Gothic"/>
      <charset val="134"/>
      <b val="1"/>
      <color rgb="FF1F4E78"/>
      <sz val="11"/>
    </font>
    <font>
      <name val="Malgun Gothic"/>
      <charset val="134"/>
      <b val="1"/>
      <color rgb="FF000000"/>
      <sz val="9.5"/>
    </font>
    <font>
      <name val="Malgun Gothic"/>
      <charset val="134"/>
      <b val="1"/>
      <color rgb="FF595959"/>
      <sz val="9"/>
    </font>
    <font>
      <name val="Malgun Gothic"/>
      <charset val="134"/>
      <b val="1"/>
      <color rgb="FF1F4E78"/>
      <sz val="14"/>
    </font>
    <font>
      <name val="맑은 고딕"/>
      <charset val="134"/>
      <color theme="1"/>
      <sz val="11"/>
      <scheme val="minor"/>
    </font>
    <font>
      <name val="맑은 고딕"/>
      <charset val="0"/>
      <color rgb="FF0000FF"/>
      <sz val="11"/>
      <u val="single"/>
      <scheme val="minor"/>
    </font>
    <font>
      <name val="맑은 고딕"/>
      <charset val="0"/>
      <color rgb="FF800080"/>
      <sz val="11"/>
      <u val="single"/>
      <scheme val="minor"/>
    </font>
    <font>
      <name val="맑은 고딕"/>
      <charset val="0"/>
      <color rgb="FFFF0000"/>
      <sz val="11"/>
      <scheme val="minor"/>
    </font>
    <font>
      <name val="맑은 고딕"/>
      <charset val="134"/>
      <b val="1"/>
      <color theme="3"/>
      <sz val="18"/>
      <scheme val="minor"/>
    </font>
    <font>
      <name val="맑은 고딕"/>
      <charset val="0"/>
      <i val="1"/>
      <color rgb="FF7F7F7F"/>
      <sz val="11"/>
      <scheme val="minor"/>
    </font>
    <font>
      <name val="맑은 고딕"/>
      <charset val="134"/>
      <b val="1"/>
      <color theme="3"/>
      <sz val="15"/>
      <scheme val="minor"/>
    </font>
    <font>
      <name val="맑은 고딕"/>
      <charset val="134"/>
      <b val="1"/>
      <color theme="3"/>
      <sz val="13"/>
      <scheme val="minor"/>
    </font>
    <font>
      <name val="맑은 고딕"/>
      <charset val="134"/>
      <b val="1"/>
      <color theme="3"/>
      <sz val="11"/>
      <scheme val="minor"/>
    </font>
    <font>
      <name val="맑은 고딕"/>
      <charset val="0"/>
      <color rgb="FF3F3F76"/>
      <sz val="11"/>
      <scheme val="minor"/>
    </font>
    <font>
      <name val="맑은 고딕"/>
      <charset val="0"/>
      <b val="1"/>
      <color rgb="FF3F3F3F"/>
      <sz val="11"/>
      <scheme val="minor"/>
    </font>
    <font>
      <name val="맑은 고딕"/>
      <charset val="0"/>
      <b val="1"/>
      <color rgb="FFFA7D00"/>
      <sz val="11"/>
      <scheme val="minor"/>
    </font>
    <font>
      <name val="맑은 고딕"/>
      <charset val="0"/>
      <b val="1"/>
      <color rgb="FFFFFFFF"/>
      <sz val="11"/>
      <scheme val="minor"/>
    </font>
    <font>
      <name val="맑은 고딕"/>
      <charset val="0"/>
      <color rgb="FFFA7D00"/>
      <sz val="11"/>
      <scheme val="minor"/>
    </font>
    <font>
      <name val="맑은 고딕"/>
      <charset val="0"/>
      <b val="1"/>
      <color theme="1"/>
      <sz val="11"/>
      <scheme val="minor"/>
    </font>
    <font>
      <name val="맑은 고딕"/>
      <charset val="0"/>
      <color rgb="FF006100"/>
      <sz val="11"/>
      <scheme val="minor"/>
    </font>
    <font>
      <name val="맑은 고딕"/>
      <charset val="0"/>
      <color rgb="FF9C0006"/>
      <sz val="11"/>
      <scheme val="minor"/>
    </font>
    <font>
      <name val="맑은 고딕"/>
      <charset val="0"/>
      <color rgb="FF9C6500"/>
      <sz val="11"/>
      <scheme val="minor"/>
    </font>
    <font>
      <name val="맑은 고딕"/>
      <charset val="0"/>
      <color theme="0"/>
      <sz val="11"/>
      <scheme val="minor"/>
    </font>
    <font>
      <name val="맑은 고딕"/>
      <charset val="0"/>
      <color theme="1"/>
      <sz val="11"/>
      <scheme val="minor"/>
    </font>
  </fonts>
  <fills count="42">
    <fill>
      <patternFill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1F4E78"/>
        <bgColor rgb="FF1F4E78"/>
      </patternFill>
    </fill>
    <fill>
      <patternFill patternType="solid">
        <fgColor rgb="FF41719C"/>
        <bgColor rgb="FF41719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double">
        <color rgb="FF1F4E78"/>
      </bottom>
      <diagonal/>
    </border>
    <border>
      <left/>
      <right style="thin">
        <color rgb="FFD9D9D9"/>
      </right>
      <top style="thin">
        <color rgb="FFD9D9D9"/>
      </top>
      <bottom style="double">
        <color rgb="FF1F4E78"/>
      </bottom>
      <diagonal/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11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12" borderId="7" applyAlignment="1">
      <alignment vertical="center"/>
    </xf>
    <xf numFmtId="0" fontId="19" fillId="13" borderId="8" applyAlignment="1">
      <alignment vertical="center"/>
    </xf>
    <xf numFmtId="0" fontId="20" fillId="13" borderId="7" applyAlignment="1">
      <alignment vertical="center"/>
    </xf>
    <xf numFmtId="0" fontId="21" fillId="14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8" fillId="39" borderId="0" applyAlignment="1">
      <alignment vertical="center"/>
    </xf>
    <xf numFmtId="0" fontId="28" fillId="40" borderId="0" applyAlignment="1">
      <alignment vertical="center"/>
    </xf>
    <xf numFmtId="0" fontId="27" fillId="41" borderId="0" applyAlignment="1">
      <alignment vertical="center"/>
    </xf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3" fontId="1" fillId="0" borderId="2" applyAlignment="1" pivotButton="0" quotePrefix="0" xfId="0">
      <alignment horizontal="right" vertical="center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5" borderId="2" applyAlignment="1" pivotButton="0" quotePrefix="0" xfId="0">
      <alignment horizontal="left" vertical="center"/>
    </xf>
    <xf numFmtId="3" fontId="1" fillId="5" borderId="2" applyAlignment="1" pivotButton="0" quotePrefix="0" xfId="0">
      <alignment horizontal="right" vertical="center"/>
    </xf>
    <xf numFmtId="3" fontId="1" fillId="6" borderId="2" applyAlignment="1" pivotButton="0" quotePrefix="0" xfId="0">
      <alignment horizontal="right" vertical="center"/>
    </xf>
    <xf numFmtId="0" fontId="1" fillId="6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right" vertical="center"/>
    </xf>
    <xf numFmtId="0" fontId="7" fillId="9" borderId="2" applyAlignment="1" pivotButton="0" quotePrefix="0" xfId="0">
      <alignment horizontal="center" vertical="center"/>
    </xf>
    <xf numFmtId="0" fontId="0" fillId="0" borderId="2" pivotButton="0" quotePrefix="0" xfId="0"/>
    <xf numFmtId="0" fontId="8" fillId="9" borderId="2" applyAlignment="1" pivotButton="0" quotePrefix="0" xfId="0">
      <alignment horizontal="center" vertical="center"/>
    </xf>
    <xf numFmtId="0" fontId="6" fillId="10" borderId="3" applyAlignment="1" pivotButton="0" quotePrefix="0" xfId="0">
      <alignment horizontal="center" vertical="center"/>
    </xf>
    <xf numFmtId="0" fontId="6" fillId="10" borderId="3" pivotButton="0" quotePrefix="0" xfId="0"/>
    <xf numFmtId="3" fontId="6" fillId="10" borderId="3" applyAlignment="1" pivotButton="0" quotePrefix="0" xfId="0">
      <alignment horizontal="right" vertical="center"/>
    </xf>
    <xf numFmtId="0" fontId="6" fillId="10" borderId="3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</cellXfs>
  <cellStyles count="49">
    <cellStyle name="일반" xfId="0" builtinId="0"/>
    <cellStyle name="천 단위 구분 기호" xfId="1" builtinId="3"/>
    <cellStyle name="통화" xfId="2" builtinId="4"/>
    <cellStyle name="백분율" xfId="3" builtinId="5"/>
    <cellStyle name="천 단위 구분 기호【0】" xfId="4" builtinId="6"/>
    <cellStyle name="통화【0】" xfId="5" builtinId="7"/>
    <cellStyle name="하이퍼링크" xfId="6" builtinId="8"/>
    <cellStyle name="방문한 하이퍼링크" xfId="7" builtinId="9"/>
    <cellStyle name="메모" xfId="8" builtinId="10"/>
    <cellStyle name="경고 텍스트" xfId="9" builtinId="11"/>
    <cellStyle name="제목" xfId="10" builtinId="15"/>
    <cellStyle name="설명 텍스트" xfId="11" builtinId="53"/>
    <cellStyle name="제목 1" xfId="12" builtinId="16"/>
    <cellStyle name="제목 2" xfId="13" builtinId="17"/>
    <cellStyle name="제목 3" xfId="14" builtinId="18"/>
    <cellStyle name="제목 4" xfId="15" builtinId="19"/>
    <cellStyle name="입력" xfId="16" builtinId="20"/>
    <cellStyle name="출력" xfId="17" builtinId="21"/>
    <cellStyle name="계산" xfId="18" builtinId="22"/>
    <cellStyle name="셀 확인" xfId="19" builtinId="23"/>
    <cellStyle name="링크된 셀" xfId="20" builtinId="24"/>
    <cellStyle name="요약" xfId="21" builtinId="25"/>
    <cellStyle name="좋음" xfId="22" builtinId="26"/>
    <cellStyle name="나쁨" xfId="23" builtinId="27"/>
    <cellStyle name="보통" xfId="24" builtinId="28"/>
    <cellStyle name="강조 1" xfId="25" builtinId="29"/>
    <cellStyle name="20% - 강조 1" xfId="26" builtinId="30"/>
    <cellStyle name="40% - 강조 1" xfId="27" builtinId="31"/>
    <cellStyle name="60% - 강조 1" xfId="28" builtinId="32"/>
    <cellStyle name="강조 2" xfId="29" builtinId="33"/>
    <cellStyle name="20% - 강조 2" xfId="30" builtinId="34"/>
    <cellStyle name="40% - 강조 2" xfId="31" builtinId="35"/>
    <cellStyle name="60% - 강조 2" xfId="32" builtinId="36"/>
    <cellStyle name="강조 3" xfId="33" builtinId="37"/>
    <cellStyle name="20% - 강조 3" xfId="34" builtinId="38"/>
    <cellStyle name="40% - 강조 3" xfId="35" builtinId="39"/>
    <cellStyle name="60% - 강조 3" xfId="36" builtinId="40"/>
    <cellStyle name="강조 4" xfId="37" builtinId="41"/>
    <cellStyle name="20% - 강조 4" xfId="38" builtinId="42"/>
    <cellStyle name="40% - 강조 4" xfId="39" builtinId="43"/>
    <cellStyle name="60% - 강조 4" xfId="40" builtinId="44"/>
    <cellStyle name="강조 5" xfId="41" builtinId="45"/>
    <cellStyle name="20% - 강조 5" xfId="42" builtinId="46"/>
    <cellStyle name="40% - 강조 5" xfId="43" builtinId="47"/>
    <cellStyle name="60% - 강조 5" xfId="44" builtinId="48"/>
    <cellStyle name="강조 6" xfId="45" builtinId="49"/>
    <cellStyle name="20% - 강조 6" xfId="46" builtinId="50"/>
    <cellStyle name="40% - 강조 6" xfId="47" builtinId="51"/>
    <cellStyle name="60% - 강조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tabSelected="1" workbookViewId="0">
      <selection activeCell="A1" sqref="A1"/>
    </sheetView>
  </sheetViews>
  <sheetFormatPr baseColWidth="8" defaultColWidth="9" defaultRowHeight="16.5"/>
  <cols>
    <col width="12" customWidth="1" min="1" max="1"/>
    <col width="20" customWidth="1" min="2" max="2"/>
    <col width="13" customWidth="1" min="3" max="3"/>
    <col width="7" customWidth="1" min="4" max="4"/>
    <col width="10" customWidth="1" min="5" max="7"/>
    <col width="11" customWidth="1" min="8" max="11"/>
    <col width="10" customWidth="1" min="12" max="14"/>
    <col width="12" customWidth="1" min="15" max="15"/>
  </cols>
  <sheetData>
    <row r="1" ht="24" customHeight="1">
      <c r="A1" s="2" t="inlineStr">
        <is>
          <t>원부자재 재고·생산·BOM·발주 실시간 통합 대시보드 (MRP)</t>
        </is>
      </c>
    </row>
    <row r="2">
      <c r="A2" s="3" t="inlineStr">
        <is>
          <t>※ BOM 정규형 기준 자동 생산차감(백플러시), 가용재고 및 실시간 병목 분석, 생산계획 시뮬레이션 연동</t>
        </is>
      </c>
    </row>
    <row r="3"/>
    <row r="4">
      <c r="A4" s="23" t="inlineStr">
        <is>
          <t>총 관리 부품수</t>
        </is>
      </c>
      <c r="B4" s="30" t="n"/>
      <c r="C4" s="23" t="inlineStr">
        <is>
          <t>현재고 부족 부품</t>
        </is>
      </c>
      <c r="D4" s="30" t="n"/>
      <c r="E4" s="23" t="inlineStr">
        <is>
          <t>안전재고 주의 부품</t>
        </is>
      </c>
      <c r="F4" s="30" t="n"/>
      <c r="G4" s="23" t="inlineStr">
        <is>
          <t>즉시 생산가능 완제품</t>
        </is>
      </c>
      <c r="H4" s="30" t="n"/>
      <c r="I4" s="23" t="inlineStr">
        <is>
          <t>총 발주 필요량</t>
        </is>
      </c>
      <c r="J4" s="31" t="n"/>
      <c r="K4" s="30" t="n"/>
      <c r="L4" s="23" t="inlineStr">
        <is>
          <t>미입고 발주 예정량</t>
        </is>
      </c>
      <c r="M4" s="31" t="n"/>
      <c r="N4" s="30" t="n"/>
    </row>
    <row r="5" ht="20.25" customHeight="1">
      <c r="A5" s="25">
        <f>COUNTA(B10:B23)&amp;" 개 품목"</f>
        <v/>
      </c>
      <c r="B5" s="30" t="n"/>
      <c r="C5" s="25">
        <f>COUNTIF(N10:N23,"부족")&amp;" 개 품목"</f>
        <v/>
      </c>
      <c r="D5" s="30" t="n"/>
      <c r="E5" s="25">
        <f>COUNTIF(N10:N23,"주의")&amp;" 개 품목"</f>
        <v/>
      </c>
      <c r="F5" s="30" t="n"/>
      <c r="G5" s="25">
        <f>COUNTIF(C29:C34,"&gt;0")&amp;" / "&amp;COUNTA(A29:A34)&amp;" 종"</f>
        <v/>
      </c>
      <c r="H5" s="30" t="n"/>
      <c r="I5" s="25">
        <f>TEXT(SUM(O10:O23),"#,##0")&amp;" EA"</f>
        <v/>
      </c>
      <c r="J5" s="31" t="n"/>
      <c r="K5" s="30" t="n"/>
      <c r="L5" s="25">
        <f>TEXT(SUM(J10:J23),"#,##0")&amp;" EA"</f>
        <v/>
      </c>
      <c r="M5" s="31" t="n"/>
      <c r="N5" s="30" t="n"/>
    </row>
    <row r="6"/>
    <row r="7"/>
    <row r="8">
      <c r="A8" s="8" t="inlineStr">
        <is>
          <t>■ 실시간 원부자재 수불 현황 및 재고 과부족 분석 (단위: EA)</t>
        </is>
      </c>
    </row>
    <row r="9" ht="17.25" customHeight="1">
      <c r="A9" s="9" t="inlineStr">
        <is>
          <t>부품코드</t>
        </is>
      </c>
      <c r="B9" s="9" t="inlineStr">
        <is>
          <t>부품명</t>
        </is>
      </c>
      <c r="C9" s="9" t="inlineStr">
        <is>
          <t>부품구분</t>
        </is>
      </c>
      <c r="D9" s="9" t="inlineStr">
        <is>
          <t>단위</t>
        </is>
      </c>
      <c r="E9" s="9" t="inlineStr">
        <is>
          <t>기초재고</t>
        </is>
      </c>
      <c r="F9" s="9" t="inlineStr">
        <is>
          <t>입고누계</t>
        </is>
      </c>
      <c r="G9" s="9" t="inlineStr">
        <is>
          <t>기타출고</t>
        </is>
      </c>
      <c r="H9" s="9" t="inlineStr">
        <is>
          <t>생산차감</t>
        </is>
      </c>
      <c r="I9" s="9" t="inlineStr">
        <is>
          <t>현재고</t>
        </is>
      </c>
      <c r="J9" s="9" t="inlineStr">
        <is>
          <t>미입고예정</t>
        </is>
      </c>
      <c r="K9" s="9" t="inlineStr">
        <is>
          <t>가용재고</t>
        </is>
      </c>
      <c r="L9" s="9" t="inlineStr">
        <is>
          <t>안전재고</t>
        </is>
      </c>
      <c r="M9" s="9" t="inlineStr">
        <is>
          <t>목표재고</t>
        </is>
      </c>
      <c r="N9" s="9" t="inlineStr">
        <is>
          <t>재고상태</t>
        </is>
      </c>
      <c r="O9" s="9" t="inlineStr">
        <is>
          <t>필요발주량</t>
        </is>
      </c>
    </row>
    <row r="10">
      <c r="A10" s="5">
        <f>품목_기준정보!A6</f>
        <v/>
      </c>
      <c r="B10" s="6">
        <f>품목_기준정보!B6</f>
        <v/>
      </c>
      <c r="C10" s="5">
        <f>품목_기준정보!C6</f>
        <v/>
      </c>
      <c r="D10" s="5">
        <f>품목_기준정보!D6</f>
        <v/>
      </c>
      <c r="E10" s="7">
        <f>품목_기준정보!E6</f>
        <v/>
      </c>
      <c r="F10" s="20">
        <f>SUMIFS(자재_입출고원장!$G$4:$G$100,자재_입출고원장!$E$4:$E$100,B10,자재_입출고원장!$C$4:$C$100,"입고")</f>
        <v/>
      </c>
      <c r="G10" s="20">
        <f>SUMIFS(자재_입출고원장!$H$4:$H$100,자재_입출고원장!$E$4:$E$100,B10,자재_입출고원장!$C$4:$C$100,"출고")</f>
        <v/>
      </c>
      <c r="H10" s="20">
        <f>SUMIFS(BOM_정규형!$I$4:$I$100,BOM_정규형!$D$4:$D$100,B10)</f>
        <v/>
      </c>
      <c r="I10" s="20">
        <f>E10+F10-G10-H10</f>
        <v/>
      </c>
      <c r="J10" s="20">
        <f>SUMIFS(발주_미입고관리!$H$4:$H$100,발주_미입고관리!$D$4:$D$100,B10)</f>
        <v/>
      </c>
      <c r="K10" s="20">
        <f>I10+J10</f>
        <v/>
      </c>
      <c r="L10" s="7">
        <f>품목_기준정보!F6</f>
        <v/>
      </c>
      <c r="M10" s="7">
        <f>품목_기준정보!G6</f>
        <v/>
      </c>
      <c r="N10" s="11">
        <f>IF(I10&lt;0,"부족",IF(I10&lt;L10,"주의","정상"))</f>
        <v/>
      </c>
      <c r="O10" s="20">
        <f>MAX(M10-I10-J10,0)</f>
        <v/>
      </c>
    </row>
    <row r="11">
      <c r="A11" s="5">
        <f>품목_기준정보!A7</f>
        <v/>
      </c>
      <c r="B11" s="6">
        <f>품목_기준정보!B7</f>
        <v/>
      </c>
      <c r="C11" s="5">
        <f>품목_기준정보!C7</f>
        <v/>
      </c>
      <c r="D11" s="5">
        <f>품목_기준정보!D7</f>
        <v/>
      </c>
      <c r="E11" s="7">
        <f>품목_기준정보!E7</f>
        <v/>
      </c>
      <c r="F11" s="20">
        <f>SUMIFS(자재_입출고원장!$G$4:$G$100,자재_입출고원장!$E$4:$E$100,B11,자재_입출고원장!$C$4:$C$100,"입고")</f>
        <v/>
      </c>
      <c r="G11" s="20">
        <f>SUMIFS(자재_입출고원장!$H$4:$H$100,자재_입출고원장!$E$4:$E$100,B11,자재_입출고원장!$C$4:$C$100,"출고")</f>
        <v/>
      </c>
      <c r="H11" s="20">
        <f>SUMIFS(BOM_정규형!$I$4:$I$100,BOM_정규형!$D$4:$D$100,B11)</f>
        <v/>
      </c>
      <c r="I11" s="20">
        <f>E11+F11-G11-H11</f>
        <v/>
      </c>
      <c r="J11" s="20">
        <f>SUMIFS(발주_미입고관리!$H$4:$H$100,발주_미입고관리!$D$4:$D$100,B11)</f>
        <v/>
      </c>
      <c r="K11" s="20">
        <f>I11+J11</f>
        <v/>
      </c>
      <c r="L11" s="7">
        <f>품목_기준정보!F7</f>
        <v/>
      </c>
      <c r="M11" s="7">
        <f>품목_기준정보!G7</f>
        <v/>
      </c>
      <c r="N11" s="11">
        <f>IF(I11&lt;0,"부족",IF(I11&lt;L11,"주의","정상"))</f>
        <v/>
      </c>
      <c r="O11" s="20">
        <f>MAX(M11-I11-J11,0)</f>
        <v/>
      </c>
    </row>
    <row r="12">
      <c r="A12" s="5">
        <f>품목_기준정보!A8</f>
        <v/>
      </c>
      <c r="B12" s="6">
        <f>품목_기준정보!B8</f>
        <v/>
      </c>
      <c r="C12" s="5">
        <f>품목_기준정보!C8</f>
        <v/>
      </c>
      <c r="D12" s="5">
        <f>품목_기준정보!D8</f>
        <v/>
      </c>
      <c r="E12" s="7">
        <f>품목_기준정보!E8</f>
        <v/>
      </c>
      <c r="F12" s="20">
        <f>SUMIFS(자재_입출고원장!$G$4:$G$100,자재_입출고원장!$E$4:$E$100,B12,자재_입출고원장!$C$4:$C$100,"입고")</f>
        <v/>
      </c>
      <c r="G12" s="20">
        <f>SUMIFS(자재_입출고원장!$H$4:$H$100,자재_입출고원장!$E$4:$E$100,B12,자재_입출고원장!$C$4:$C$100,"출고")</f>
        <v/>
      </c>
      <c r="H12" s="20">
        <f>SUMIFS(BOM_정규형!$I$4:$I$100,BOM_정규형!$D$4:$D$100,B12)</f>
        <v/>
      </c>
      <c r="I12" s="20">
        <f>E12+F12-G12-H12</f>
        <v/>
      </c>
      <c r="J12" s="20">
        <f>SUMIFS(발주_미입고관리!$H$4:$H$100,발주_미입고관리!$D$4:$D$100,B12)</f>
        <v/>
      </c>
      <c r="K12" s="20">
        <f>I12+J12</f>
        <v/>
      </c>
      <c r="L12" s="7">
        <f>품목_기준정보!F8</f>
        <v/>
      </c>
      <c r="M12" s="7">
        <f>품목_기준정보!G8</f>
        <v/>
      </c>
      <c r="N12" s="11">
        <f>IF(I12&lt;0,"부족",IF(I12&lt;L12,"주의","정상"))</f>
        <v/>
      </c>
      <c r="O12" s="20">
        <f>MAX(M12-I12-J12,0)</f>
        <v/>
      </c>
    </row>
    <row r="13">
      <c r="A13" s="5">
        <f>품목_기준정보!A9</f>
        <v/>
      </c>
      <c r="B13" s="6">
        <f>품목_기준정보!B9</f>
        <v/>
      </c>
      <c r="C13" s="5">
        <f>품목_기준정보!C9</f>
        <v/>
      </c>
      <c r="D13" s="5">
        <f>품목_기준정보!D9</f>
        <v/>
      </c>
      <c r="E13" s="7">
        <f>품목_기준정보!E9</f>
        <v/>
      </c>
      <c r="F13" s="20">
        <f>SUMIFS(자재_입출고원장!$G$4:$G$100,자재_입출고원장!$E$4:$E$100,B13,자재_입출고원장!$C$4:$C$100,"입고")</f>
        <v/>
      </c>
      <c r="G13" s="20">
        <f>SUMIFS(자재_입출고원장!$H$4:$H$100,자재_입출고원장!$E$4:$E$100,B13,자재_입출고원장!$C$4:$C$100,"출고")</f>
        <v/>
      </c>
      <c r="H13" s="20">
        <f>SUMIFS(BOM_정규형!$I$4:$I$100,BOM_정규형!$D$4:$D$100,B13)</f>
        <v/>
      </c>
      <c r="I13" s="20">
        <f>E13+F13-G13-H13</f>
        <v/>
      </c>
      <c r="J13" s="20">
        <f>SUMIFS(발주_미입고관리!$H$4:$H$100,발주_미입고관리!$D$4:$D$100,B13)</f>
        <v/>
      </c>
      <c r="K13" s="20">
        <f>I13+J13</f>
        <v/>
      </c>
      <c r="L13" s="7">
        <f>품목_기준정보!F9</f>
        <v/>
      </c>
      <c r="M13" s="7">
        <f>품목_기준정보!G9</f>
        <v/>
      </c>
      <c r="N13" s="11">
        <f>IF(I13&lt;0,"부족",IF(I13&lt;L13,"주의","정상"))</f>
        <v/>
      </c>
      <c r="O13" s="20">
        <f>MAX(M13-I13-J13,0)</f>
        <v/>
      </c>
    </row>
    <row r="14">
      <c r="A14" s="5">
        <f>품목_기준정보!A10</f>
        <v/>
      </c>
      <c r="B14" s="6">
        <f>품목_기준정보!B10</f>
        <v/>
      </c>
      <c r="C14" s="5">
        <f>품목_기준정보!C10</f>
        <v/>
      </c>
      <c r="D14" s="5">
        <f>품목_기준정보!D10</f>
        <v/>
      </c>
      <c r="E14" s="7">
        <f>품목_기준정보!E10</f>
        <v/>
      </c>
      <c r="F14" s="20">
        <f>SUMIFS(자재_입출고원장!$G$4:$G$100,자재_입출고원장!$E$4:$E$100,B14,자재_입출고원장!$C$4:$C$100,"입고")</f>
        <v/>
      </c>
      <c r="G14" s="20">
        <f>SUMIFS(자재_입출고원장!$H$4:$H$100,자재_입출고원장!$E$4:$E$100,B14,자재_입출고원장!$C$4:$C$100,"출고")</f>
        <v/>
      </c>
      <c r="H14" s="20">
        <f>SUMIFS(BOM_정규형!$I$4:$I$100,BOM_정규형!$D$4:$D$100,B14)</f>
        <v/>
      </c>
      <c r="I14" s="20">
        <f>E14+F14-G14-H14</f>
        <v/>
      </c>
      <c r="J14" s="20">
        <f>SUMIFS(발주_미입고관리!$H$4:$H$100,발주_미입고관리!$D$4:$D$100,B14)</f>
        <v/>
      </c>
      <c r="K14" s="20">
        <f>I14+J14</f>
        <v/>
      </c>
      <c r="L14" s="7">
        <f>품목_기준정보!F10</f>
        <v/>
      </c>
      <c r="M14" s="7">
        <f>품목_기준정보!G10</f>
        <v/>
      </c>
      <c r="N14" s="11">
        <f>IF(I14&lt;0,"부족",IF(I14&lt;L14,"주의","정상"))</f>
        <v/>
      </c>
      <c r="O14" s="20">
        <f>MAX(M14-I14-J14,0)</f>
        <v/>
      </c>
    </row>
    <row r="15">
      <c r="A15" s="5">
        <f>품목_기준정보!A11</f>
        <v/>
      </c>
      <c r="B15" s="6">
        <f>품목_기준정보!B11</f>
        <v/>
      </c>
      <c r="C15" s="5">
        <f>품목_기준정보!C11</f>
        <v/>
      </c>
      <c r="D15" s="5">
        <f>품목_기준정보!D11</f>
        <v/>
      </c>
      <c r="E15" s="7">
        <f>품목_기준정보!E11</f>
        <v/>
      </c>
      <c r="F15" s="20">
        <f>SUMIFS(자재_입출고원장!$G$4:$G$100,자재_입출고원장!$E$4:$E$100,B15,자재_입출고원장!$C$4:$C$100,"입고")</f>
        <v/>
      </c>
      <c r="G15" s="20">
        <f>SUMIFS(자재_입출고원장!$H$4:$H$100,자재_입출고원장!$E$4:$E$100,B15,자재_입출고원장!$C$4:$C$100,"출고")</f>
        <v/>
      </c>
      <c r="H15" s="20">
        <f>SUMIFS(BOM_정규형!$I$4:$I$100,BOM_정규형!$D$4:$D$100,B15)</f>
        <v/>
      </c>
      <c r="I15" s="20">
        <f>E15+F15-G15-H15</f>
        <v/>
      </c>
      <c r="J15" s="20">
        <f>SUMIFS(발주_미입고관리!$H$4:$H$100,발주_미입고관리!$D$4:$D$100,B15)</f>
        <v/>
      </c>
      <c r="K15" s="20">
        <f>I15+J15</f>
        <v/>
      </c>
      <c r="L15" s="7">
        <f>품목_기준정보!F11</f>
        <v/>
      </c>
      <c r="M15" s="7">
        <f>품목_기준정보!G11</f>
        <v/>
      </c>
      <c r="N15" s="11">
        <f>IF(I15&lt;0,"부족",IF(I15&lt;L15,"주의","정상"))</f>
        <v/>
      </c>
      <c r="O15" s="20">
        <f>MAX(M15-I15-J15,0)</f>
        <v/>
      </c>
    </row>
    <row r="16">
      <c r="A16" s="5">
        <f>품목_기준정보!A12</f>
        <v/>
      </c>
      <c r="B16" s="6">
        <f>품목_기준정보!B12</f>
        <v/>
      </c>
      <c r="C16" s="5">
        <f>품목_기준정보!C12</f>
        <v/>
      </c>
      <c r="D16" s="5">
        <f>품목_기준정보!D12</f>
        <v/>
      </c>
      <c r="E16" s="7">
        <f>품목_기준정보!E12</f>
        <v/>
      </c>
      <c r="F16" s="20">
        <f>SUMIFS(자재_입출고원장!$G$4:$G$100,자재_입출고원장!$E$4:$E$100,B16,자재_입출고원장!$C$4:$C$100,"입고")</f>
        <v/>
      </c>
      <c r="G16" s="20">
        <f>SUMIFS(자재_입출고원장!$H$4:$H$100,자재_입출고원장!$E$4:$E$100,B16,자재_입출고원장!$C$4:$C$100,"출고")</f>
        <v/>
      </c>
      <c r="H16" s="20">
        <f>SUMIFS(BOM_정규형!$I$4:$I$100,BOM_정규형!$D$4:$D$100,B16)</f>
        <v/>
      </c>
      <c r="I16" s="20">
        <f>E16+F16-G16-H16</f>
        <v/>
      </c>
      <c r="J16" s="20">
        <f>SUMIFS(발주_미입고관리!$H$4:$H$100,발주_미입고관리!$D$4:$D$100,B16)</f>
        <v/>
      </c>
      <c r="K16" s="20">
        <f>I16+J16</f>
        <v/>
      </c>
      <c r="L16" s="7">
        <f>품목_기준정보!F12</f>
        <v/>
      </c>
      <c r="M16" s="7">
        <f>품목_기준정보!G12</f>
        <v/>
      </c>
      <c r="N16" s="11">
        <f>IF(I16&lt;0,"부족",IF(I16&lt;L16,"주의","정상"))</f>
        <v/>
      </c>
      <c r="O16" s="20">
        <f>MAX(M16-I16-J16,0)</f>
        <v/>
      </c>
    </row>
    <row r="17">
      <c r="A17" s="5">
        <f>품목_기준정보!A13</f>
        <v/>
      </c>
      <c r="B17" s="6">
        <f>품목_기준정보!B13</f>
        <v/>
      </c>
      <c r="C17" s="5">
        <f>품목_기준정보!C13</f>
        <v/>
      </c>
      <c r="D17" s="5">
        <f>품목_기준정보!D13</f>
        <v/>
      </c>
      <c r="E17" s="7">
        <f>품목_기준정보!E13</f>
        <v/>
      </c>
      <c r="F17" s="20">
        <f>SUMIFS(자재_입출고원장!$G$4:$G$100,자재_입출고원장!$E$4:$E$100,B17,자재_입출고원장!$C$4:$C$100,"입고")</f>
        <v/>
      </c>
      <c r="G17" s="20">
        <f>SUMIFS(자재_입출고원장!$H$4:$H$100,자재_입출고원장!$E$4:$E$100,B17,자재_입출고원장!$C$4:$C$100,"출고")</f>
        <v/>
      </c>
      <c r="H17" s="20">
        <f>SUMIFS(BOM_정규형!$I$4:$I$100,BOM_정규형!$D$4:$D$100,B17)</f>
        <v/>
      </c>
      <c r="I17" s="20">
        <f>E17+F17-G17-H17</f>
        <v/>
      </c>
      <c r="J17" s="20">
        <f>SUMIFS(발주_미입고관리!$H$4:$H$100,발주_미입고관리!$D$4:$D$100,B17)</f>
        <v/>
      </c>
      <c r="K17" s="20">
        <f>I17+J17</f>
        <v/>
      </c>
      <c r="L17" s="7">
        <f>품목_기준정보!F13</f>
        <v/>
      </c>
      <c r="M17" s="7">
        <f>품목_기준정보!G13</f>
        <v/>
      </c>
      <c r="N17" s="11">
        <f>IF(I17&lt;0,"부족",IF(I17&lt;L17,"주의","정상"))</f>
        <v/>
      </c>
      <c r="O17" s="20">
        <f>MAX(M17-I17-J17,0)</f>
        <v/>
      </c>
    </row>
    <row r="18">
      <c r="A18" s="5">
        <f>품목_기준정보!A14</f>
        <v/>
      </c>
      <c r="B18" s="6">
        <f>품목_기준정보!B14</f>
        <v/>
      </c>
      <c r="C18" s="5">
        <f>품목_기준정보!C14</f>
        <v/>
      </c>
      <c r="D18" s="5">
        <f>품목_기준정보!D14</f>
        <v/>
      </c>
      <c r="E18" s="7">
        <f>품목_기준정보!E14</f>
        <v/>
      </c>
      <c r="F18" s="20">
        <f>SUMIFS(자재_입출고원장!$G$4:$G$100,자재_입출고원장!$E$4:$E$100,B18,자재_입출고원장!$C$4:$C$100,"입고")</f>
        <v/>
      </c>
      <c r="G18" s="20">
        <f>SUMIFS(자재_입출고원장!$H$4:$H$100,자재_입출고원장!$E$4:$E$100,B18,자재_입출고원장!$C$4:$C$100,"출고")</f>
        <v/>
      </c>
      <c r="H18" s="20">
        <f>SUMIFS(BOM_정규형!$I$4:$I$100,BOM_정규형!$D$4:$D$100,B18)</f>
        <v/>
      </c>
      <c r="I18" s="20">
        <f>E18+F18-G18-H18</f>
        <v/>
      </c>
      <c r="J18" s="20">
        <f>SUMIFS(발주_미입고관리!$H$4:$H$100,발주_미입고관리!$D$4:$D$100,B18)</f>
        <v/>
      </c>
      <c r="K18" s="20">
        <f>I18+J18</f>
        <v/>
      </c>
      <c r="L18" s="7">
        <f>품목_기준정보!F14</f>
        <v/>
      </c>
      <c r="M18" s="7">
        <f>품목_기준정보!G14</f>
        <v/>
      </c>
      <c r="N18" s="11">
        <f>IF(I18&lt;0,"부족",IF(I18&lt;L18,"주의","정상"))</f>
        <v/>
      </c>
      <c r="O18" s="20">
        <f>MAX(M18-I18-J18,0)</f>
        <v/>
      </c>
    </row>
    <row r="19">
      <c r="A19" s="5">
        <f>품목_기준정보!A15</f>
        <v/>
      </c>
      <c r="B19" s="6">
        <f>품목_기준정보!B15</f>
        <v/>
      </c>
      <c r="C19" s="5">
        <f>품목_기준정보!C15</f>
        <v/>
      </c>
      <c r="D19" s="5">
        <f>품목_기준정보!D15</f>
        <v/>
      </c>
      <c r="E19" s="7">
        <f>품목_기준정보!E15</f>
        <v/>
      </c>
      <c r="F19" s="20">
        <f>SUMIFS(자재_입출고원장!$G$4:$G$100,자재_입출고원장!$E$4:$E$100,B19,자재_입출고원장!$C$4:$C$100,"입고")</f>
        <v/>
      </c>
      <c r="G19" s="20">
        <f>SUMIFS(자재_입출고원장!$H$4:$H$100,자재_입출고원장!$E$4:$E$100,B19,자재_입출고원장!$C$4:$C$100,"출고")</f>
        <v/>
      </c>
      <c r="H19" s="20">
        <f>SUMIFS(BOM_정규형!$I$4:$I$100,BOM_정규형!$D$4:$D$100,B19)</f>
        <v/>
      </c>
      <c r="I19" s="20">
        <f>E19+F19-G19-H19</f>
        <v/>
      </c>
      <c r="J19" s="20">
        <f>SUMIFS(발주_미입고관리!$H$4:$H$100,발주_미입고관리!$D$4:$D$100,B19)</f>
        <v/>
      </c>
      <c r="K19" s="20">
        <f>I19+J19</f>
        <v/>
      </c>
      <c r="L19" s="7">
        <f>품목_기준정보!F15</f>
        <v/>
      </c>
      <c r="M19" s="7">
        <f>품목_기준정보!G15</f>
        <v/>
      </c>
      <c r="N19" s="11">
        <f>IF(I19&lt;0,"부족",IF(I19&lt;L19,"주의","정상"))</f>
        <v/>
      </c>
      <c r="O19" s="20">
        <f>MAX(M19-I19-J19,0)</f>
        <v/>
      </c>
    </row>
    <row r="20">
      <c r="A20" s="5">
        <f>품목_기준정보!A16</f>
        <v/>
      </c>
      <c r="B20" s="6">
        <f>품목_기준정보!B16</f>
        <v/>
      </c>
      <c r="C20" s="5">
        <f>품목_기준정보!C16</f>
        <v/>
      </c>
      <c r="D20" s="5">
        <f>품목_기준정보!D16</f>
        <v/>
      </c>
      <c r="E20" s="7">
        <f>품목_기준정보!E16</f>
        <v/>
      </c>
      <c r="F20" s="20">
        <f>SUMIFS(자재_입출고원장!$G$4:$G$100,자재_입출고원장!$E$4:$E$100,B20,자재_입출고원장!$C$4:$C$100,"입고")</f>
        <v/>
      </c>
      <c r="G20" s="20">
        <f>SUMIFS(자재_입출고원장!$H$4:$H$100,자재_입출고원장!$E$4:$E$100,B20,자재_입출고원장!$C$4:$C$100,"출고")</f>
        <v/>
      </c>
      <c r="H20" s="20">
        <f>SUMIFS(BOM_정규형!$I$4:$I$100,BOM_정규형!$D$4:$D$100,B20)</f>
        <v/>
      </c>
      <c r="I20" s="20">
        <f>E20+F20-G20-H20</f>
        <v/>
      </c>
      <c r="J20" s="20">
        <f>SUMIFS(발주_미입고관리!$H$4:$H$100,발주_미입고관리!$D$4:$D$100,B20)</f>
        <v/>
      </c>
      <c r="K20" s="20">
        <f>I20+J20</f>
        <v/>
      </c>
      <c r="L20" s="7">
        <f>품목_기준정보!F16</f>
        <v/>
      </c>
      <c r="M20" s="7">
        <f>품목_기준정보!G16</f>
        <v/>
      </c>
      <c r="N20" s="11">
        <f>IF(I20&lt;0,"부족",IF(I20&lt;L20,"주의","정상"))</f>
        <v/>
      </c>
      <c r="O20" s="20">
        <f>MAX(M20-I20-J20,0)</f>
        <v/>
      </c>
    </row>
    <row r="21">
      <c r="A21" s="5">
        <f>품목_기준정보!A17</f>
        <v/>
      </c>
      <c r="B21" s="6">
        <f>품목_기준정보!B17</f>
        <v/>
      </c>
      <c r="C21" s="5">
        <f>품목_기준정보!C17</f>
        <v/>
      </c>
      <c r="D21" s="5">
        <f>품목_기준정보!D17</f>
        <v/>
      </c>
      <c r="E21" s="7">
        <f>품목_기준정보!E17</f>
        <v/>
      </c>
      <c r="F21" s="20">
        <f>SUMIFS(자재_입출고원장!$G$4:$G$100,자재_입출고원장!$E$4:$E$100,B21,자재_입출고원장!$C$4:$C$100,"입고")</f>
        <v/>
      </c>
      <c r="G21" s="20">
        <f>SUMIFS(자재_입출고원장!$H$4:$H$100,자재_입출고원장!$E$4:$E$100,B21,자재_입출고원장!$C$4:$C$100,"출고")</f>
        <v/>
      </c>
      <c r="H21" s="20">
        <f>SUMIFS(BOM_정규형!$I$4:$I$100,BOM_정규형!$D$4:$D$100,B21)</f>
        <v/>
      </c>
      <c r="I21" s="20">
        <f>E21+F21-G21-H21</f>
        <v/>
      </c>
      <c r="J21" s="20">
        <f>SUMIFS(발주_미입고관리!$H$4:$H$100,발주_미입고관리!$D$4:$D$100,B21)</f>
        <v/>
      </c>
      <c r="K21" s="20">
        <f>I21+J21</f>
        <v/>
      </c>
      <c r="L21" s="7">
        <f>품목_기준정보!F17</f>
        <v/>
      </c>
      <c r="M21" s="7">
        <f>품목_기준정보!G17</f>
        <v/>
      </c>
      <c r="N21" s="11">
        <f>IF(I21&lt;0,"부족",IF(I21&lt;L21,"주의","정상"))</f>
        <v/>
      </c>
      <c r="O21" s="20">
        <f>MAX(M21-I21-J21,0)</f>
        <v/>
      </c>
    </row>
    <row r="22">
      <c r="A22" s="5">
        <f>품목_기준정보!A18</f>
        <v/>
      </c>
      <c r="B22" s="6">
        <f>품목_기준정보!B18</f>
        <v/>
      </c>
      <c r="C22" s="5">
        <f>품목_기준정보!C18</f>
        <v/>
      </c>
      <c r="D22" s="5">
        <f>품목_기준정보!D18</f>
        <v/>
      </c>
      <c r="E22" s="7">
        <f>품목_기준정보!E18</f>
        <v/>
      </c>
      <c r="F22" s="20">
        <f>SUMIFS(자재_입출고원장!$G$4:$G$100,자재_입출고원장!$E$4:$E$100,B22,자재_입출고원장!$C$4:$C$100,"입고")</f>
        <v/>
      </c>
      <c r="G22" s="20">
        <f>SUMIFS(자재_입출고원장!$H$4:$H$100,자재_입출고원장!$E$4:$E$100,B22,자재_입출고원장!$C$4:$C$100,"출고")</f>
        <v/>
      </c>
      <c r="H22" s="20">
        <f>SUMIFS(BOM_정규형!$I$4:$I$100,BOM_정규형!$D$4:$D$100,B22)</f>
        <v/>
      </c>
      <c r="I22" s="20">
        <f>E22+F22-G22-H22</f>
        <v/>
      </c>
      <c r="J22" s="20">
        <f>SUMIFS(발주_미입고관리!$H$4:$H$100,발주_미입고관리!$D$4:$D$100,B22)</f>
        <v/>
      </c>
      <c r="K22" s="20">
        <f>I22+J22</f>
        <v/>
      </c>
      <c r="L22" s="7">
        <f>품목_기준정보!F18</f>
        <v/>
      </c>
      <c r="M22" s="7">
        <f>품목_기준정보!G18</f>
        <v/>
      </c>
      <c r="N22" s="11">
        <f>IF(I22&lt;0,"부족",IF(I22&lt;L22,"주의","정상"))</f>
        <v/>
      </c>
      <c r="O22" s="20">
        <f>MAX(M22-I22-J22,0)</f>
        <v/>
      </c>
    </row>
    <row r="23">
      <c r="A23" s="5">
        <f>품목_기준정보!A19</f>
        <v/>
      </c>
      <c r="B23" s="6">
        <f>품목_기준정보!B19</f>
        <v/>
      </c>
      <c r="C23" s="5">
        <f>품목_기준정보!C19</f>
        <v/>
      </c>
      <c r="D23" s="5">
        <f>품목_기준정보!D19</f>
        <v/>
      </c>
      <c r="E23" s="7">
        <f>품목_기준정보!E19</f>
        <v/>
      </c>
      <c r="F23" s="20">
        <f>SUMIFS(자재_입출고원장!$G$4:$G$100,자재_입출고원장!$E$4:$E$100,B23,자재_입출고원장!$C$4:$C$100,"입고")</f>
        <v/>
      </c>
      <c r="G23" s="20">
        <f>SUMIFS(자재_입출고원장!$H$4:$H$100,자재_입출고원장!$E$4:$E$100,B23,자재_입출고원장!$C$4:$C$100,"출고")</f>
        <v/>
      </c>
      <c r="H23" s="20">
        <f>SUMIFS(BOM_정규형!$I$4:$I$100,BOM_정규형!$D$4:$D$100,B23)</f>
        <v/>
      </c>
      <c r="I23" s="20">
        <f>E23+F23-G23-H23</f>
        <v/>
      </c>
      <c r="J23" s="20">
        <f>SUMIFS(발주_미입고관리!$H$4:$H$100,발주_미입고관리!$D$4:$D$100,B23)</f>
        <v/>
      </c>
      <c r="K23" s="20">
        <f>I23+J23</f>
        <v/>
      </c>
      <c r="L23" s="7">
        <f>품목_기준정보!F19</f>
        <v/>
      </c>
      <c r="M23" s="7">
        <f>품목_기준정보!G19</f>
        <v/>
      </c>
      <c r="N23" s="11">
        <f>IF(I23&lt;0,"부족",IF(I23&lt;L23,"주의","정상"))</f>
        <v/>
      </c>
      <c r="O23" s="20">
        <f>MAX(M23-I23-J23,0)</f>
        <v/>
      </c>
    </row>
    <row r="24" ht="17.25" customHeight="1">
      <c r="A24" s="26" t="inlineStr">
        <is>
          <t>합계</t>
        </is>
      </c>
      <c r="B24" s="32" t="n"/>
      <c r="C24" s="32" t="n"/>
      <c r="D24" s="33" t="n"/>
      <c r="E24" s="28">
        <f>SUM(E10:E23)</f>
        <v/>
      </c>
      <c r="F24" s="28">
        <f>SUM(F10:F23)</f>
        <v/>
      </c>
      <c r="G24" s="28">
        <f>SUM(G10:G23)</f>
        <v/>
      </c>
      <c r="H24" s="28">
        <f>SUM(H10:H23)</f>
        <v/>
      </c>
      <c r="I24" s="28">
        <f>SUM(I10:I23)</f>
        <v/>
      </c>
      <c r="J24" s="28">
        <f>SUM(J10:J23)</f>
        <v/>
      </c>
      <c r="K24" s="28">
        <f>SUM(K10:K23)</f>
        <v/>
      </c>
      <c r="L24" s="28">
        <f>SUM(L10:L23)</f>
        <v/>
      </c>
      <c r="M24" s="28">
        <f>SUM(M10:M23)</f>
        <v/>
      </c>
      <c r="N24" s="26">
        <f>"부족 "&amp;COUNTIF(N10:N23,"부족")&amp;"건 / 주의 "&amp;COUNTIF(N10:N23,"주의")&amp;"건"</f>
        <v/>
      </c>
      <c r="O24" s="28">
        <f>SUM(O10:O23)</f>
        <v/>
      </c>
    </row>
    <row r="25" ht="17.25" customHeight="1"/>
    <row r="26"/>
    <row r="27">
      <c r="A27" s="8" t="inlineStr">
        <is>
          <t>■ 완제품별 실시간 생산 가용성 및 병목 분석 (단위: Set)</t>
        </is>
      </c>
    </row>
    <row r="28" ht="17.25" customHeight="1">
      <c r="A28" s="4" t="inlineStr">
        <is>
          <t>완제품코드</t>
        </is>
      </c>
      <c r="B28" s="4" t="inlineStr">
        <is>
          <t>완제품명</t>
        </is>
      </c>
      <c r="C28" s="4" t="n">
        <v>0</v>
      </c>
      <c r="D28" s="4" t="inlineStr">
        <is>
          <t>병목부품</t>
        </is>
      </c>
      <c r="E28" s="4" t="inlineStr">
        <is>
          <t>생산가능 여부</t>
        </is>
      </c>
      <c r="F28" s="4" t="inlineStr">
        <is>
          <t>잠재 생산가능량(가용재고)</t>
        </is>
      </c>
      <c r="G28" s="4" t="inlineStr">
        <is>
          <t>생산 가용성 분석 비고</t>
        </is>
      </c>
    </row>
    <row r="29">
      <c r="A29" s="5" t="inlineStr">
        <is>
          <t>FG-001</t>
        </is>
      </c>
      <c r="B29" s="6">
        <f>품목_기준정보!B24</f>
        <v/>
      </c>
      <c r="C29" s="20" t="n">
        <v>5000</v>
      </c>
      <c r="D29" s="5">
        <f>INDEX(BOM_정규형!$D$4:$D$100,MATCH(1,INDEX((BOM_정규형!$A$4:$A$100=A29)*(BOM_정규형!$N$4:$N$100=C29),),0))</f>
        <v/>
      </c>
      <c r="E29" s="5">
        <f>IF(C29&gt;0,"정상 생산 가능","생산 불가 (결품)")</f>
        <v/>
      </c>
      <c r="F29" s="20">
        <f>_xlfn.MINIFS(BOM_정규형!$O$4:$O$100,BOM_정규형!$A$4:$A$100,A29)</f>
        <v/>
      </c>
      <c r="G29" s="21">
        <f>IF(C29&gt;0,"현재고 기준 "&amp;TEXT(C29,"#,##0")&amp;" Set 가능 (병목: "&amp;D29&amp;")","생산 불가 ("&amp;D29&amp;" 재고 부족)")</f>
        <v/>
      </c>
    </row>
    <row r="30">
      <c r="A30" s="5" t="inlineStr">
        <is>
          <t>FG-002</t>
        </is>
      </c>
      <c r="B30" s="6">
        <f>품목_기준정보!B25</f>
        <v/>
      </c>
      <c r="C30" s="20" t="n">
        <v>1000</v>
      </c>
      <c r="D30" s="5">
        <f>INDEX(BOM_정규형!$D$4:$D$100,MATCH(1,INDEX((BOM_정규형!$A$4:$A$100=A30)*(BOM_정규형!$N$4:$N$100=C30),),0))</f>
        <v/>
      </c>
      <c r="E30" s="5">
        <f>IF(C30&gt;0,"정상 생산 가능","생산 불가 (결품)")</f>
        <v/>
      </c>
      <c r="F30" s="20">
        <f>_xlfn.MINIFS(BOM_정규형!$O$4:$O$100,BOM_정규형!$A$4:$A$100,A30)</f>
        <v/>
      </c>
      <c r="G30" s="21">
        <f>IF(C30&gt;0,"현재고 기준 "&amp;TEXT(C30,"#,##0")&amp;" Set 가능 (병목: "&amp;D30&amp;")","생산 불가 ("&amp;D30&amp;" 재고 부족)")</f>
        <v/>
      </c>
    </row>
    <row r="31">
      <c r="A31" s="5" t="inlineStr">
        <is>
          <t>FG-003</t>
        </is>
      </c>
      <c r="B31" s="6">
        <f>품목_기준정보!B26</f>
        <v/>
      </c>
      <c r="C31" s="20" t="n">
        <v>0</v>
      </c>
      <c r="D31" s="5">
        <f>INDEX(BOM_정규형!$D$4:$D$100,MATCH(1,INDEX((BOM_정규형!$A$4:$A$100=A31)*(BOM_정규형!$N$4:$N$100=C31),),0))</f>
        <v/>
      </c>
      <c r="E31" s="5">
        <f>IF(C31&gt;0,"정상 생산 가능","생산 불가 (결품)")</f>
        <v/>
      </c>
      <c r="F31" s="20">
        <f>_xlfn.MINIFS(BOM_정규형!$O$4:$O$100,BOM_정규형!$A$4:$A$100,A31)</f>
        <v/>
      </c>
      <c r="G31" s="21">
        <f>IF(C31&gt;0,"현재고 기준 "&amp;TEXT(C31,"#,##0")&amp;" Set 가능 (병목: "&amp;D31&amp;")","생산 불가 ("&amp;D31&amp;" 재고 부족)")</f>
        <v/>
      </c>
    </row>
    <row r="32">
      <c r="A32" s="5" t="inlineStr">
        <is>
          <t>FG-004</t>
        </is>
      </c>
      <c r="B32" s="6">
        <f>품목_기준정보!B27</f>
        <v/>
      </c>
      <c r="C32" s="20" t="n">
        <v>0</v>
      </c>
      <c r="D32" s="5">
        <f>INDEX(BOM_정규형!$D$4:$D$100,MATCH(1,INDEX((BOM_정규형!$A$4:$A$100=A32)*(BOM_정규형!$N$4:$N$100=C32),),0))</f>
        <v/>
      </c>
      <c r="E32" s="5">
        <f>IF(C32&gt;0,"정상 생산 가능","생산 불가 (결품)")</f>
        <v/>
      </c>
      <c r="F32" s="20">
        <f>_xlfn.MINIFS(BOM_정규형!$O$4:$O$100,BOM_정규형!$A$4:$A$100,A32)</f>
        <v/>
      </c>
      <c r="G32" s="21">
        <f>IF(C32&gt;0,"현재고 기준 "&amp;TEXT(C32,"#,##0")&amp;" Set 가능 (병목: "&amp;D32&amp;")","생산 불가 ("&amp;D32&amp;" 재고 부족)")</f>
        <v/>
      </c>
    </row>
    <row r="33">
      <c r="A33" s="5" t="inlineStr">
        <is>
          <t>FG-005</t>
        </is>
      </c>
      <c r="B33" s="6">
        <f>품목_기준정보!B28</f>
        <v/>
      </c>
      <c r="C33" s="20" t="n">
        <v>0</v>
      </c>
      <c r="D33" s="5">
        <f>INDEX(BOM_정규형!$D$4:$D$100,MATCH(1,INDEX((BOM_정규형!$A$4:$A$100=A33)*(BOM_정규형!$N$4:$N$100=C33),),0))</f>
        <v/>
      </c>
      <c r="E33" s="5">
        <f>IF(C33&gt;0,"정상 생산 가능","생산 불가 (결품)")</f>
        <v/>
      </c>
      <c r="F33" s="20">
        <f>_xlfn.MINIFS(BOM_정규형!$O$4:$O$100,BOM_정규형!$A$4:$A$100,A33)</f>
        <v/>
      </c>
      <c r="G33" s="21">
        <f>IF(C33&gt;0,"현재고 기준 "&amp;TEXT(C33,"#,##0")&amp;" Set 가능 (병목: "&amp;D33&amp;")","생산 불가 ("&amp;D33&amp;" 재고 부족)")</f>
        <v/>
      </c>
    </row>
    <row r="34">
      <c r="A34" s="5" t="inlineStr">
        <is>
          <t>FG-006</t>
        </is>
      </c>
      <c r="B34" s="6">
        <f>품목_기준정보!B29</f>
        <v/>
      </c>
      <c r="C34" s="20" t="n">
        <v>0</v>
      </c>
      <c r="D34" s="5">
        <f>INDEX(BOM_정규형!$D$4:$D$100,MATCH(1,INDEX((BOM_정규형!$A$4:$A$100=A34)*(BOM_정규형!$N$4:$N$100=C34),),0))</f>
        <v/>
      </c>
      <c r="E34" s="5">
        <f>IF(C34&gt;0,"정상 생산 가능","생산 불가 (결품)")</f>
        <v/>
      </c>
      <c r="F34" s="20">
        <f>_xlfn.MINIFS(BOM_정규형!$O$4:$O$100,BOM_정규형!$A$4:$A$100,A34)</f>
        <v/>
      </c>
      <c r="G34" s="21">
        <f>IF(C34&gt;0,"현재고 기준 "&amp;TEXT(C34,"#,##0")&amp;" Set 가능 (병목: "&amp;D34&amp;")","생산 불가 ("&amp;D34&amp;" 재고 부족)")</f>
        <v/>
      </c>
    </row>
    <row r="35" ht="17.25" customHeight="1">
      <c r="A35" s="26" t="inlineStr">
        <is>
          <t>합계</t>
        </is>
      </c>
      <c r="B35" s="27" t="inlineStr">
        <is>
          <t>제품별 최대 생산가능량 합계 (※ 공통부품을 공유하므로 전 품목 동시 생산량이 아님)</t>
        </is>
      </c>
      <c r="C35" s="28">
        <f>SUM(C29:C34)</f>
        <v/>
      </c>
      <c r="D35" s="27" t="n"/>
      <c r="E35" s="26">
        <f>"가용 "&amp;COUNTIF(C29:C34,"&gt;0")&amp;"종 / 전체 "&amp;COUNTA(A29:A34)&amp;"종"</f>
        <v/>
      </c>
      <c r="F35" s="28">
        <f>SUM(F29:F34)</f>
        <v/>
      </c>
      <c r="G35" s="27" t="n"/>
    </row>
    <row r="36" ht="17.25" customHeight="1"/>
    <row r="37"/>
    <row r="38">
      <c r="A38" s="8" t="inlineStr">
        <is>
          <t>■ 완제품 생산 계획 수량 시뮬레이션 (단위: Set)</t>
        </is>
      </c>
    </row>
    <row r="39" ht="17.25" customHeight="1">
      <c r="A39" s="10" t="inlineStr">
        <is>
          <t>완제품코드</t>
        </is>
      </c>
      <c r="B39" s="10" t="inlineStr">
        <is>
          <t>완제품명</t>
        </is>
      </c>
      <c r="C39" s="10" t="inlineStr">
        <is>
          <t>생산계획수량</t>
        </is>
      </c>
      <c r="D39" s="10" t="inlineStr">
        <is>
          <t>현재고 기준 최대가능량</t>
        </is>
      </c>
      <c r="E39" s="10" t="inlineStr">
        <is>
          <t>생산가능 여부</t>
        </is>
      </c>
      <c r="F39" s="10" t="inlineStr">
        <is>
          <t>계획 부족량</t>
        </is>
      </c>
      <c r="G39" s="10" t="inlineStr">
        <is>
          <t>시뮬레이션 비고</t>
        </is>
      </c>
    </row>
    <row r="40">
      <c r="A40" s="5" t="inlineStr">
        <is>
          <t>FG-001</t>
        </is>
      </c>
      <c r="B40" s="6">
        <f>품목_기준정보!B24</f>
        <v/>
      </c>
      <c r="C40" s="19" t="n">
        <v>300</v>
      </c>
      <c r="D40" s="20">
        <f>C29</f>
        <v/>
      </c>
      <c r="E40" s="5">
        <f>IF(C40=0,"-",IF(C40&lt;=D40,"생산 가능","생산 불가 (부족)"))</f>
        <v/>
      </c>
      <c r="F40" s="20">
        <f>IF(C40&lt;=D40,0,C40-D40)</f>
        <v/>
      </c>
      <c r="G40" s="21">
        <f>IF(C40=0,"계획 없음",IF(C40&lt;=D40,"가용 재고 충족","가용량 대비 "&amp;TEXT(F40,"#,##0")&amp;" Set 부족"))</f>
        <v/>
      </c>
    </row>
    <row r="41">
      <c r="A41" s="5" t="inlineStr">
        <is>
          <t>FG-002</t>
        </is>
      </c>
      <c r="B41" s="6">
        <f>품목_기준정보!B25</f>
        <v/>
      </c>
      <c r="C41" s="19" t="n">
        <v>0</v>
      </c>
      <c r="D41" s="20">
        <f>C30</f>
        <v/>
      </c>
      <c r="E41" s="5">
        <f>IF(C41=0,"-",IF(C41&lt;=D41,"생산 가능","생산 불가 (부족)"))</f>
        <v/>
      </c>
      <c r="F41" s="20">
        <f>IF(C41&lt;=D41,0,C41-D41)</f>
        <v/>
      </c>
      <c r="G41" s="21">
        <f>IF(C41=0,"계획 없음",IF(C41&lt;=D41,"가용 재고 충족","가용량 대비 "&amp;TEXT(F41,"#,##0")&amp;" Set 부족"))</f>
        <v/>
      </c>
    </row>
    <row r="42">
      <c r="A42" s="5" t="inlineStr">
        <is>
          <t>FG-003</t>
        </is>
      </c>
      <c r="B42" s="6">
        <f>품목_기준정보!B26</f>
        <v/>
      </c>
      <c r="C42" s="19" t="n">
        <v>100</v>
      </c>
      <c r="D42" s="20">
        <f>C31</f>
        <v/>
      </c>
      <c r="E42" s="5">
        <f>IF(C42=0,"-",IF(C42&lt;=D42,"생산 가능","생산 불가 (부족)"))</f>
        <v/>
      </c>
      <c r="F42" s="20">
        <f>IF(C42&lt;=D42,0,C42-D42)</f>
        <v/>
      </c>
      <c r="G42" s="21">
        <f>IF(C42=0,"계획 없음",IF(C42&lt;=D42,"가용 재고 충족","가용량 대비 "&amp;TEXT(F42,"#,##0")&amp;" Set 부족"))</f>
        <v/>
      </c>
    </row>
    <row r="43">
      <c r="A43" s="5" t="inlineStr">
        <is>
          <t>FG-004</t>
        </is>
      </c>
      <c r="B43" s="6">
        <f>품목_기준정보!B27</f>
        <v/>
      </c>
      <c r="C43" s="19" t="n">
        <v>500</v>
      </c>
      <c r="D43" s="20">
        <f>C32</f>
        <v/>
      </c>
      <c r="E43" s="5">
        <f>IF(C43=0,"-",IF(C43&lt;=D43,"생산 가능","생산 불가 (부족)"))</f>
        <v/>
      </c>
      <c r="F43" s="20">
        <f>IF(C43&lt;=D43,0,C43-D43)</f>
        <v/>
      </c>
      <c r="G43" s="21">
        <f>IF(C43=0,"계획 없음",IF(C43&lt;=D43,"가용 재고 충족","가용량 대비 "&amp;TEXT(F43,"#,##0")&amp;" Set 부족"))</f>
        <v/>
      </c>
    </row>
    <row r="44">
      <c r="A44" s="5" t="inlineStr">
        <is>
          <t>FG-005</t>
        </is>
      </c>
      <c r="B44" s="6">
        <f>품목_기준정보!B28</f>
        <v/>
      </c>
      <c r="C44" s="19" t="n">
        <v>0</v>
      </c>
      <c r="D44" s="20">
        <f>C33</f>
        <v/>
      </c>
      <c r="E44" s="5">
        <f>IF(C44=0,"-",IF(C44&lt;=D44,"생산 가능","생산 불가 (부족)"))</f>
        <v/>
      </c>
      <c r="F44" s="20">
        <f>IF(C44&lt;=D44,0,C44-D44)</f>
        <v/>
      </c>
      <c r="G44" s="21">
        <f>IF(C44=0,"계획 없음",IF(C44&lt;=D44,"가용 재고 충족","가용량 대비 "&amp;TEXT(F44,"#,##0")&amp;" Set 부족"))</f>
        <v/>
      </c>
    </row>
    <row r="45">
      <c r="A45" s="5" t="inlineStr">
        <is>
          <t>FG-006</t>
        </is>
      </c>
      <c r="B45" s="6">
        <f>품목_기준정보!B29</f>
        <v/>
      </c>
      <c r="C45" s="19" t="n">
        <v>0</v>
      </c>
      <c r="D45" s="20">
        <f>C34</f>
        <v/>
      </c>
      <c r="E45" s="5">
        <f>IF(C45=0,"-",IF(C45&lt;=D45,"생산 가능","생산 불가 (부족)"))</f>
        <v/>
      </c>
      <c r="F45" s="20">
        <f>IF(C45&lt;=D45,0,C45-D45)</f>
        <v/>
      </c>
      <c r="G45" s="21">
        <f>IF(C45=0,"계획 없음",IF(C45&lt;=D45,"가용 재고 충족","가용량 대비 "&amp;TEXT(F45,"#,##0")&amp;" Set 부족"))</f>
        <v/>
      </c>
    </row>
    <row r="46" ht="17.25" customHeight="1">
      <c r="A46" s="26" t="inlineStr">
        <is>
          <t>합계</t>
        </is>
      </c>
      <c r="B46" s="27" t="n"/>
      <c r="C46" s="28">
        <f>SUM(C40:C45)</f>
        <v/>
      </c>
      <c r="D46" s="28">
        <f>SUM(D40:D45)</f>
        <v/>
      </c>
      <c r="E46" s="26">
        <f>IF(COUNTIF(E40:E45,"생산 불가 (부족)")&gt;0,"일부 초과 ("&amp;COUNTIF(E40:E45,"생산 불가 (부족)")&amp;"건)","전체 생산 가능")</f>
        <v/>
      </c>
      <c r="F46" s="28">
        <f>SUM(F40:F45)</f>
        <v/>
      </c>
      <c r="G46" s="29">
        <f>"계획 총 "&amp;TEXT(C46,"#,##0")&amp;" Set / 부족 총 "&amp;TEXT(F46,"#,##0")&amp;" Set"</f>
        <v/>
      </c>
    </row>
    <row r="47" ht="17.25" customHeight="1"/>
    <row r="49">
      <c r="A49" s="8" t="inlineStr">
        <is>
          <t>■ 생산계획에 따른 부품별 계획 소요량 및 과부족 분석 (단위: EA)</t>
        </is>
      </c>
    </row>
    <row r="50" ht="17.25" customHeight="1">
      <c r="A50" s="10" t="inlineStr">
        <is>
          <t>부품코드</t>
        </is>
      </c>
      <c r="B50" s="10" t="inlineStr">
        <is>
          <t>부품명</t>
        </is>
      </c>
      <c r="C50" s="10" t="inlineStr">
        <is>
          <t>부품구분</t>
        </is>
      </c>
      <c r="D50" s="10" t="inlineStr">
        <is>
          <t>단위</t>
        </is>
      </c>
      <c r="E50" s="10" t="inlineStr">
        <is>
          <t>현재고</t>
        </is>
      </c>
      <c r="F50" s="10" t="inlineStr">
        <is>
          <t>계획 총소요량</t>
        </is>
      </c>
      <c r="G50" s="10" t="inlineStr">
        <is>
          <t>예상 잔여재고</t>
        </is>
      </c>
      <c r="H50" s="10" t="inlineStr">
        <is>
          <t>과부족 판정</t>
        </is>
      </c>
      <c r="I50" s="10" t="inlineStr">
        <is>
          <t>계획 기준 추가발주량</t>
        </is>
      </c>
    </row>
    <row r="51">
      <c r="A51" s="5">
        <f>A10</f>
        <v/>
      </c>
      <c r="B51" s="6">
        <f>B10</f>
        <v/>
      </c>
      <c r="C51" s="5">
        <f>C10</f>
        <v/>
      </c>
      <c r="D51" s="5">
        <f>D10</f>
        <v/>
      </c>
      <c r="E51" s="20">
        <f>I10</f>
        <v/>
      </c>
      <c r="F51" s="20">
        <f>SUMIFS(BOM_정규형!$K$4:$K$100,BOM_정규형!$D$4:$D$100,B51)</f>
        <v/>
      </c>
      <c r="G51" s="20">
        <f>E51-F51</f>
        <v/>
      </c>
      <c r="H51" s="5">
        <f>IF(G51&lt;0,"부족","정상")</f>
        <v/>
      </c>
      <c r="I51" s="20">
        <f>IF(G51&lt;0,ABS(G51),0)</f>
        <v/>
      </c>
    </row>
    <row r="52">
      <c r="A52" s="5">
        <f>A11</f>
        <v/>
      </c>
      <c r="B52" s="6">
        <f>B11</f>
        <v/>
      </c>
      <c r="C52" s="5">
        <f>C11</f>
        <v/>
      </c>
      <c r="D52" s="5">
        <f>D11</f>
        <v/>
      </c>
      <c r="E52" s="20">
        <f>I11</f>
        <v/>
      </c>
      <c r="F52" s="20">
        <f>SUMIFS(BOM_정규형!$K$4:$K$100,BOM_정규형!$D$4:$D$100,B52)</f>
        <v/>
      </c>
      <c r="G52" s="20">
        <f>E52-F52</f>
        <v/>
      </c>
      <c r="H52" s="5">
        <f>IF(G52&lt;0,"부족","정상")</f>
        <v/>
      </c>
      <c r="I52" s="20">
        <f>IF(G52&lt;0,ABS(G52),0)</f>
        <v/>
      </c>
    </row>
    <row r="53">
      <c r="A53" s="5">
        <f>A12</f>
        <v/>
      </c>
      <c r="B53" s="6">
        <f>B12</f>
        <v/>
      </c>
      <c r="C53" s="5">
        <f>C12</f>
        <v/>
      </c>
      <c r="D53" s="5">
        <f>D12</f>
        <v/>
      </c>
      <c r="E53" s="20">
        <f>I12</f>
        <v/>
      </c>
      <c r="F53" s="20">
        <f>SUMIFS(BOM_정규형!$K$4:$K$100,BOM_정규형!$D$4:$D$100,B53)</f>
        <v/>
      </c>
      <c r="G53" s="20">
        <f>E53-F53</f>
        <v/>
      </c>
      <c r="H53" s="5">
        <f>IF(G53&lt;0,"부족","정상")</f>
        <v/>
      </c>
      <c r="I53" s="20">
        <f>IF(G53&lt;0,ABS(G53),0)</f>
        <v/>
      </c>
    </row>
    <row r="54">
      <c r="A54" s="5">
        <f>A13</f>
        <v/>
      </c>
      <c r="B54" s="6">
        <f>B13</f>
        <v/>
      </c>
      <c r="C54" s="5">
        <f>C13</f>
        <v/>
      </c>
      <c r="D54" s="5">
        <f>D13</f>
        <v/>
      </c>
      <c r="E54" s="20">
        <f>I13</f>
        <v/>
      </c>
      <c r="F54" s="20">
        <f>SUMIFS(BOM_정규형!$K$4:$K$100,BOM_정규형!$D$4:$D$100,B54)</f>
        <v/>
      </c>
      <c r="G54" s="20">
        <f>E54-F54</f>
        <v/>
      </c>
      <c r="H54" s="5">
        <f>IF(G54&lt;0,"부족","정상")</f>
        <v/>
      </c>
      <c r="I54" s="20">
        <f>IF(G54&lt;0,ABS(G54),0)</f>
        <v/>
      </c>
    </row>
    <row r="55">
      <c r="A55" s="5">
        <f>A14</f>
        <v/>
      </c>
      <c r="B55" s="6">
        <f>B14</f>
        <v/>
      </c>
      <c r="C55" s="5">
        <f>C14</f>
        <v/>
      </c>
      <c r="D55" s="5">
        <f>D14</f>
        <v/>
      </c>
      <c r="E55" s="20">
        <f>I14</f>
        <v/>
      </c>
      <c r="F55" s="20">
        <f>SUMIFS(BOM_정규형!$K$4:$K$100,BOM_정규형!$D$4:$D$100,B55)</f>
        <v/>
      </c>
      <c r="G55" s="20">
        <f>E55-F55</f>
        <v/>
      </c>
      <c r="H55" s="5">
        <f>IF(G55&lt;0,"부족","정상")</f>
        <v/>
      </c>
      <c r="I55" s="20">
        <f>IF(G55&lt;0,ABS(G55),0)</f>
        <v/>
      </c>
    </row>
    <row r="56">
      <c r="A56" s="5">
        <f>A15</f>
        <v/>
      </c>
      <c r="B56" s="6">
        <f>B15</f>
        <v/>
      </c>
      <c r="C56" s="5">
        <f>C15</f>
        <v/>
      </c>
      <c r="D56" s="5">
        <f>D15</f>
        <v/>
      </c>
      <c r="E56" s="20">
        <f>I15</f>
        <v/>
      </c>
      <c r="F56" s="20">
        <f>SUMIFS(BOM_정규형!$K$4:$K$100,BOM_정규형!$D$4:$D$100,B56)</f>
        <v/>
      </c>
      <c r="G56" s="20">
        <f>E56-F56</f>
        <v/>
      </c>
      <c r="H56" s="5">
        <f>IF(G56&lt;0,"부족","정상")</f>
        <v/>
      </c>
      <c r="I56" s="20">
        <f>IF(G56&lt;0,ABS(G56),0)</f>
        <v/>
      </c>
    </row>
    <row r="57">
      <c r="A57" s="5">
        <f>A16</f>
        <v/>
      </c>
      <c r="B57" s="6">
        <f>B16</f>
        <v/>
      </c>
      <c r="C57" s="5">
        <f>C16</f>
        <v/>
      </c>
      <c r="D57" s="5">
        <f>D16</f>
        <v/>
      </c>
      <c r="E57" s="20">
        <f>I16</f>
        <v/>
      </c>
      <c r="F57" s="20">
        <f>SUMIFS(BOM_정규형!$K$4:$K$100,BOM_정규형!$D$4:$D$100,B57)</f>
        <v/>
      </c>
      <c r="G57" s="20">
        <f>E57-F57</f>
        <v/>
      </c>
      <c r="H57" s="5">
        <f>IF(G57&lt;0,"부족","정상")</f>
        <v/>
      </c>
      <c r="I57" s="20">
        <f>IF(G57&lt;0,ABS(G57),0)</f>
        <v/>
      </c>
    </row>
    <row r="58">
      <c r="A58" s="5">
        <f>A17</f>
        <v/>
      </c>
      <c r="B58" s="6">
        <f>B17</f>
        <v/>
      </c>
      <c r="C58" s="5">
        <f>C17</f>
        <v/>
      </c>
      <c r="D58" s="5">
        <f>D17</f>
        <v/>
      </c>
      <c r="E58" s="20">
        <f>I17</f>
        <v/>
      </c>
      <c r="F58" s="20">
        <f>SUMIFS(BOM_정규형!$K$4:$K$100,BOM_정규형!$D$4:$D$100,B58)</f>
        <v/>
      </c>
      <c r="G58" s="20">
        <f>E58-F58</f>
        <v/>
      </c>
      <c r="H58" s="5">
        <f>IF(G58&lt;0,"부족","정상")</f>
        <v/>
      </c>
      <c r="I58" s="20">
        <f>IF(G58&lt;0,ABS(G58),0)</f>
        <v/>
      </c>
    </row>
    <row r="59">
      <c r="A59" s="5">
        <f>A18</f>
        <v/>
      </c>
      <c r="B59" s="6">
        <f>B18</f>
        <v/>
      </c>
      <c r="C59" s="5">
        <f>C18</f>
        <v/>
      </c>
      <c r="D59" s="5">
        <f>D18</f>
        <v/>
      </c>
      <c r="E59" s="20">
        <f>I18</f>
        <v/>
      </c>
      <c r="F59" s="20">
        <f>SUMIFS(BOM_정규형!$K$4:$K$100,BOM_정규형!$D$4:$D$100,B59)</f>
        <v/>
      </c>
      <c r="G59" s="20">
        <f>E59-F59</f>
        <v/>
      </c>
      <c r="H59" s="5">
        <f>IF(G59&lt;0,"부족","정상")</f>
        <v/>
      </c>
      <c r="I59" s="20">
        <f>IF(G59&lt;0,ABS(G59),0)</f>
        <v/>
      </c>
    </row>
    <row r="60">
      <c r="A60" s="5">
        <f>A19</f>
        <v/>
      </c>
      <c r="B60" s="6">
        <f>B19</f>
        <v/>
      </c>
      <c r="C60" s="5">
        <f>C19</f>
        <v/>
      </c>
      <c r="D60" s="5">
        <f>D19</f>
        <v/>
      </c>
      <c r="E60" s="20">
        <f>I19</f>
        <v/>
      </c>
      <c r="F60" s="20">
        <f>SUMIFS(BOM_정규형!$K$4:$K$100,BOM_정규형!$D$4:$D$100,B60)</f>
        <v/>
      </c>
      <c r="G60" s="20">
        <f>E60-F60</f>
        <v/>
      </c>
      <c r="H60" s="5">
        <f>IF(G60&lt;0,"부족","정상")</f>
        <v/>
      </c>
      <c r="I60" s="20">
        <f>IF(G60&lt;0,ABS(G60),0)</f>
        <v/>
      </c>
    </row>
    <row r="61">
      <c r="A61" s="5">
        <f>A20</f>
        <v/>
      </c>
      <c r="B61" s="6">
        <f>B20</f>
        <v/>
      </c>
      <c r="C61" s="5">
        <f>C20</f>
        <v/>
      </c>
      <c r="D61" s="5">
        <f>D20</f>
        <v/>
      </c>
      <c r="E61" s="20">
        <f>I20</f>
        <v/>
      </c>
      <c r="F61" s="20">
        <f>SUMIFS(BOM_정규형!$K$4:$K$100,BOM_정규형!$D$4:$D$100,B61)</f>
        <v/>
      </c>
      <c r="G61" s="20">
        <f>E61-F61</f>
        <v/>
      </c>
      <c r="H61" s="5">
        <f>IF(G61&lt;0,"부족","정상")</f>
        <v/>
      </c>
      <c r="I61" s="20">
        <f>IF(G61&lt;0,ABS(G61),0)</f>
        <v/>
      </c>
    </row>
    <row r="62">
      <c r="A62" s="5">
        <f>A21</f>
        <v/>
      </c>
      <c r="B62" s="6">
        <f>B21</f>
        <v/>
      </c>
      <c r="C62" s="5">
        <f>C21</f>
        <v/>
      </c>
      <c r="D62" s="5">
        <f>D21</f>
        <v/>
      </c>
      <c r="E62" s="20">
        <f>I21</f>
        <v/>
      </c>
      <c r="F62" s="20">
        <f>SUMIFS(BOM_정규형!$K$4:$K$100,BOM_정규형!$D$4:$D$100,B62)</f>
        <v/>
      </c>
      <c r="G62" s="20">
        <f>E62-F62</f>
        <v/>
      </c>
      <c r="H62" s="5">
        <f>IF(G62&lt;0,"부족","정상")</f>
        <v/>
      </c>
      <c r="I62" s="20">
        <f>IF(G62&lt;0,ABS(G62),0)</f>
        <v/>
      </c>
    </row>
    <row r="63">
      <c r="A63" s="5">
        <f>A22</f>
        <v/>
      </c>
      <c r="B63" s="6">
        <f>B22</f>
        <v/>
      </c>
      <c r="C63" s="5">
        <f>C22</f>
        <v/>
      </c>
      <c r="D63" s="5">
        <f>D22</f>
        <v/>
      </c>
      <c r="E63" s="20">
        <f>I22</f>
        <v/>
      </c>
      <c r="F63" s="20">
        <f>SUMIFS(BOM_정규형!$K$4:$K$100,BOM_정규형!$D$4:$D$100,B63)</f>
        <v/>
      </c>
      <c r="G63" s="20">
        <f>E63-F63</f>
        <v/>
      </c>
      <c r="H63" s="5">
        <f>IF(G63&lt;0,"부족","정상")</f>
        <v/>
      </c>
      <c r="I63" s="20">
        <f>IF(G63&lt;0,ABS(G63),0)</f>
        <v/>
      </c>
    </row>
    <row r="64">
      <c r="A64" s="5">
        <f>A23</f>
        <v/>
      </c>
      <c r="B64" s="6">
        <f>B23</f>
        <v/>
      </c>
      <c r="C64" s="5">
        <f>C23</f>
        <v/>
      </c>
      <c r="D64" s="5">
        <f>D23</f>
        <v/>
      </c>
      <c r="E64" s="20">
        <f>I23</f>
        <v/>
      </c>
      <c r="F64" s="20">
        <f>SUMIFS(BOM_정규형!$K$4:$K$100,BOM_정규형!$D$4:$D$100,B64)</f>
        <v/>
      </c>
      <c r="G64" s="20">
        <f>E64-F64</f>
        <v/>
      </c>
      <c r="H64" s="5">
        <f>IF(G64&lt;0,"부족","정상")</f>
        <v/>
      </c>
      <c r="I64" s="20">
        <f>IF(G64&lt;0,ABS(G64),0)</f>
        <v/>
      </c>
    </row>
    <row r="65" ht="17.25" customHeight="1">
      <c r="A65" s="26" t="inlineStr">
        <is>
          <t>합계</t>
        </is>
      </c>
      <c r="B65" s="32" t="n"/>
      <c r="C65" s="32" t="n"/>
      <c r="D65" s="33" t="n"/>
      <c r="E65" s="28">
        <f>SUM(E51:E64)</f>
        <v/>
      </c>
      <c r="F65" s="28">
        <f>SUM(F51:F64)</f>
        <v/>
      </c>
      <c r="G65" s="28">
        <f>SUM(G51:G64)</f>
        <v/>
      </c>
      <c r="H65" s="26">
        <f>"부족 "&amp;COUNTIF(H51:H64,"부족")&amp;"건"</f>
        <v/>
      </c>
      <c r="I65" s="28">
        <f>SUM(I51:I64)</f>
        <v/>
      </c>
    </row>
    <row r="66" ht="17.25" customHeight="1"/>
  </sheetData>
  <mergeCells count="14">
    <mergeCell ref="A4:B4"/>
    <mergeCell ref="G4:H4"/>
    <mergeCell ref="E4:F4"/>
    <mergeCell ref="I5:K5"/>
    <mergeCell ref="C5:D5"/>
    <mergeCell ref="A5:B5"/>
    <mergeCell ref="G5:H5"/>
    <mergeCell ref="E5:F5"/>
    <mergeCell ref="L5:N5"/>
    <mergeCell ref="A65:D65"/>
    <mergeCell ref="A24:D24"/>
    <mergeCell ref="I4:K4"/>
    <mergeCell ref="L4:N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ColWidth="9" defaultRowHeight="16.5"/>
  <cols>
    <col width="13" customWidth="1" min="1" max="1"/>
    <col width="20" customWidth="1" min="2" max="2"/>
    <col width="13" customWidth="1" min="3" max="3"/>
    <col width="7" customWidth="1" min="4" max="4"/>
    <col width="11" customWidth="1" min="5" max="7"/>
    <col width="12" customWidth="1" min="8" max="8"/>
    <col width="25" customWidth="1" min="9" max="9"/>
  </cols>
  <sheetData>
    <row r="1" ht="24" customHeight="1">
      <c r="A1" s="2" t="inlineStr">
        <is>
          <t>품목 기준정보 마스터 (원부자재 &amp; 완제품)</t>
        </is>
      </c>
    </row>
    <row r="2">
      <c r="A2" s="3" t="inlineStr">
        <is>
          <t>※ 모든 품목의 기본 규격, 기초재고, 안전재고, 목표재고를 관리하는 단일 기준정보(Master Data)입니다.</t>
        </is>
      </c>
    </row>
    <row r="3"/>
    <row r="4">
      <c r="A4" s="8" t="inlineStr">
        <is>
          <t>■ 원부자재 기준정보 마스터 (14개 관리 부품)</t>
        </is>
      </c>
    </row>
    <row r="5" ht="17.25" customHeight="1">
      <c r="A5" s="9" t="inlineStr">
        <is>
          <t>부품코드</t>
        </is>
      </c>
      <c r="B5" s="9" t="inlineStr">
        <is>
          <t>부품명</t>
        </is>
      </c>
      <c r="C5" s="9" t="inlineStr">
        <is>
          <t>부품구분</t>
        </is>
      </c>
      <c r="D5" s="9" t="inlineStr">
        <is>
          <t>단위</t>
        </is>
      </c>
      <c r="E5" s="9" t="inlineStr">
        <is>
          <t>기초재고</t>
        </is>
      </c>
      <c r="F5" s="9" t="inlineStr">
        <is>
          <t>안전재고</t>
        </is>
      </c>
      <c r="G5" s="9" t="inlineStr">
        <is>
          <t>목표재고</t>
        </is>
      </c>
      <c r="H5" s="9" t="inlineStr">
        <is>
          <t>리드타임(일)</t>
        </is>
      </c>
      <c r="I5" s="9" t="inlineStr">
        <is>
          <t>비고</t>
        </is>
      </c>
    </row>
    <row r="6">
      <c r="A6" s="5" t="inlineStr">
        <is>
          <t>RM-GL-01</t>
        </is>
      </c>
      <c r="B6" s="6" t="inlineStr">
        <is>
          <t>블랙삼각선반</t>
        </is>
      </c>
      <c r="C6" s="5" t="inlineStr">
        <is>
          <t>유리선반</t>
        </is>
      </c>
      <c r="D6" s="5" t="inlineStr">
        <is>
          <t>EA</t>
        </is>
      </c>
      <c r="E6" s="19" t="n">
        <v>375</v>
      </c>
      <c r="F6" s="19" t="n">
        <v>100</v>
      </c>
      <c r="G6" s="20" t="n">
        <v>200</v>
      </c>
      <c r="H6" s="22" t="n">
        <v>5</v>
      </c>
      <c r="I6" s="6" t="inlineStr">
        <is>
          <t>본체 (블랙 삼각)</t>
        </is>
      </c>
    </row>
    <row r="7">
      <c r="A7" s="5" t="inlineStr">
        <is>
          <t>RM-GL-02</t>
        </is>
      </c>
      <c r="B7" s="6" t="inlineStr">
        <is>
          <t>블랙일자선반</t>
        </is>
      </c>
      <c r="C7" s="5" t="inlineStr">
        <is>
          <t>유리선반</t>
        </is>
      </c>
      <c r="D7" s="5" t="inlineStr">
        <is>
          <t>EA</t>
        </is>
      </c>
      <c r="E7" s="19" t="n">
        <v>200</v>
      </c>
      <c r="F7" s="19" t="n">
        <v>50</v>
      </c>
      <c r="G7" s="20" t="n">
        <v>100</v>
      </c>
      <c r="H7" s="22" t="n">
        <v>5</v>
      </c>
      <c r="I7" s="6" t="inlineStr">
        <is>
          <t>본체 (블랙 일자)</t>
        </is>
      </c>
    </row>
    <row r="8">
      <c r="A8" s="5" t="inlineStr">
        <is>
          <t>RM-GL-03</t>
        </is>
      </c>
      <c r="B8" s="6" t="inlineStr">
        <is>
          <t>블랙오각선반</t>
        </is>
      </c>
      <c r="C8" s="5" t="inlineStr">
        <is>
          <t>유리선반</t>
        </is>
      </c>
      <c r="D8" s="5" t="inlineStr">
        <is>
          <t>EA</t>
        </is>
      </c>
      <c r="E8" s="19" t="n">
        <v>1150</v>
      </c>
      <c r="F8" s="19" t="n">
        <v>50</v>
      </c>
      <c r="G8" s="20" t="n">
        <v>100</v>
      </c>
      <c r="H8" s="22" t="n">
        <v>5</v>
      </c>
      <c r="I8" s="6" t="inlineStr">
        <is>
          <t>본체 (블랙 오각)</t>
        </is>
      </c>
    </row>
    <row r="9">
      <c r="A9" s="5" t="inlineStr">
        <is>
          <t>RM-GL-04</t>
        </is>
      </c>
      <c r="B9" s="6" t="inlineStr">
        <is>
          <t>그린삼각선반</t>
        </is>
      </c>
      <c r="C9" s="5" t="inlineStr">
        <is>
          <t>유리선반</t>
        </is>
      </c>
      <c r="D9" s="5" t="inlineStr">
        <is>
          <t>EA</t>
        </is>
      </c>
      <c r="E9" s="19" t="n">
        <v>525</v>
      </c>
      <c r="F9" s="19" t="n">
        <v>50</v>
      </c>
      <c r="G9" s="20" t="n">
        <v>100</v>
      </c>
      <c r="H9" s="22" t="n">
        <v>5</v>
      </c>
      <c r="I9" s="6" t="inlineStr">
        <is>
          <t>본체 (그린 삼각)</t>
        </is>
      </c>
    </row>
    <row r="10">
      <c r="A10" s="5" t="inlineStr">
        <is>
          <t>RM-GL-05</t>
        </is>
      </c>
      <c r="B10" s="6" t="inlineStr">
        <is>
          <t>그린일자선반</t>
        </is>
      </c>
      <c r="C10" s="5" t="inlineStr">
        <is>
          <t>유리선반</t>
        </is>
      </c>
      <c r="D10" s="5" t="inlineStr">
        <is>
          <t>EA</t>
        </is>
      </c>
      <c r="E10" s="19" t="n">
        <v>280</v>
      </c>
      <c r="F10" s="19" t="n">
        <v>50</v>
      </c>
      <c r="G10" s="20" t="n">
        <v>100</v>
      </c>
      <c r="H10" s="22" t="n">
        <v>5</v>
      </c>
      <c r="I10" s="6" t="inlineStr">
        <is>
          <t>본체 (그린 일자)</t>
        </is>
      </c>
    </row>
    <row r="11">
      <c r="A11" s="5" t="inlineStr">
        <is>
          <t>RM-GL-06</t>
        </is>
      </c>
      <c r="B11" s="6" t="inlineStr">
        <is>
          <t>그린오각선반</t>
        </is>
      </c>
      <c r="C11" s="5" t="inlineStr">
        <is>
          <t>유리선반</t>
        </is>
      </c>
      <c r="D11" s="5" t="inlineStr">
        <is>
          <t>EA</t>
        </is>
      </c>
      <c r="E11" s="19" t="n">
        <v>850</v>
      </c>
      <c r="F11" s="19" t="n">
        <v>50</v>
      </c>
      <c r="G11" s="20" t="n">
        <v>100</v>
      </c>
      <c r="H11" s="22" t="n">
        <v>5</v>
      </c>
      <c r="I11" s="6" t="inlineStr">
        <is>
          <t>본체 (그린 오각)</t>
        </is>
      </c>
    </row>
    <row r="12">
      <c r="A12" s="5" t="inlineStr">
        <is>
          <t>RM-GD-01</t>
        </is>
      </c>
      <c r="B12" s="6" t="inlineStr">
        <is>
          <t>블랙코너선반가이드</t>
        </is>
      </c>
      <c r="C12" s="5" t="inlineStr">
        <is>
          <t>선반가이드</t>
        </is>
      </c>
      <c r="D12" s="5" t="inlineStr">
        <is>
          <t>EA</t>
        </is>
      </c>
      <c r="E12" s="19" t="n">
        <v>500</v>
      </c>
      <c r="F12" s="19" t="n">
        <v>50</v>
      </c>
      <c r="G12" s="20" t="n">
        <v>100</v>
      </c>
      <c r="H12" s="22" t="n">
        <v>3</v>
      </c>
      <c r="I12" s="6" t="inlineStr">
        <is>
          <t>블랙 라운드 가이드</t>
        </is>
      </c>
    </row>
    <row r="13">
      <c r="A13" s="5" t="inlineStr">
        <is>
          <t>RM-GD-02</t>
        </is>
      </c>
      <c r="B13" s="6" t="inlineStr">
        <is>
          <t>블랙일자선반가이드</t>
        </is>
      </c>
      <c r="C13" s="5" t="inlineStr">
        <is>
          <t>선반가이드</t>
        </is>
      </c>
      <c r="D13" s="5" t="inlineStr">
        <is>
          <t>EA</t>
        </is>
      </c>
      <c r="E13" s="19" t="n">
        <v>0</v>
      </c>
      <c r="F13" s="19" t="n">
        <v>50</v>
      </c>
      <c r="G13" s="20" t="n">
        <v>100</v>
      </c>
      <c r="H13" s="22" t="n">
        <v>3</v>
      </c>
      <c r="I13" s="6" t="inlineStr">
        <is>
          <t>블랙 일자 가이드</t>
        </is>
      </c>
    </row>
    <row r="14">
      <c r="A14" s="5" t="inlineStr">
        <is>
          <t>RM-GD-03</t>
        </is>
      </c>
      <c r="B14" s="6" t="inlineStr">
        <is>
          <t>크롬코너선반가이드</t>
        </is>
      </c>
      <c r="C14" s="5" t="inlineStr">
        <is>
          <t>선반가이드</t>
        </is>
      </c>
      <c r="D14" s="5" t="inlineStr">
        <is>
          <t>EA</t>
        </is>
      </c>
      <c r="E14" s="19" t="n">
        <v>1250</v>
      </c>
      <c r="F14" s="19" t="n">
        <v>50</v>
      </c>
      <c r="G14" s="20" t="n">
        <v>100</v>
      </c>
      <c r="H14" s="22" t="n">
        <v>3</v>
      </c>
      <c r="I14" s="6" t="inlineStr">
        <is>
          <t>크롬 라운드 가이드</t>
        </is>
      </c>
    </row>
    <row r="15">
      <c r="A15" s="5" t="inlineStr">
        <is>
          <t>RM-GD-04</t>
        </is>
      </c>
      <c r="B15" s="6" t="inlineStr">
        <is>
          <t>크롬일자선반가이드</t>
        </is>
      </c>
      <c r="C15" s="5" t="inlineStr">
        <is>
          <t>선반가이드</t>
        </is>
      </c>
      <c r="D15" s="5" t="inlineStr">
        <is>
          <t>EA</t>
        </is>
      </c>
      <c r="E15" s="19" t="n">
        <v>0</v>
      </c>
      <c r="F15" s="19" t="n">
        <v>50</v>
      </c>
      <c r="G15" s="20" t="n">
        <v>100</v>
      </c>
      <c r="H15" s="22" t="n">
        <v>3</v>
      </c>
      <c r="I15" s="6" t="inlineStr">
        <is>
          <t>크롬 일자 가이드</t>
        </is>
      </c>
    </row>
    <row r="16">
      <c r="A16" s="5" t="inlineStr">
        <is>
          <t>RM-BK-01</t>
        </is>
      </c>
      <c r="B16" s="6" t="inlineStr">
        <is>
          <t>블랙선반브라켓</t>
        </is>
      </c>
      <c r="C16" s="5" t="inlineStr">
        <is>
          <t>선반브라켓</t>
        </is>
      </c>
      <c r="D16" s="5" t="inlineStr">
        <is>
          <t>EA</t>
        </is>
      </c>
      <c r="E16" s="19" t="n">
        <v>1824</v>
      </c>
      <c r="F16" s="19" t="n">
        <v>100</v>
      </c>
      <c r="G16" s="20" t="n">
        <v>200</v>
      </c>
      <c r="H16" s="22" t="n">
        <v>7</v>
      </c>
      <c r="I16" s="6" t="inlineStr">
        <is>
          <t>선반 고정 브라켓</t>
        </is>
      </c>
    </row>
    <row r="17">
      <c r="A17" s="5" t="inlineStr">
        <is>
          <t>RM-BK-02</t>
        </is>
      </c>
      <c r="B17" s="6" t="inlineStr">
        <is>
          <t>크롬선반브라켓</t>
        </is>
      </c>
      <c r="C17" s="5" t="inlineStr">
        <is>
          <t>선반브라켓</t>
        </is>
      </c>
      <c r="D17" s="5" t="inlineStr">
        <is>
          <t>EA</t>
        </is>
      </c>
      <c r="E17" s="19" t="n">
        <v>1600</v>
      </c>
      <c r="F17" s="19" t="n">
        <v>100</v>
      </c>
      <c r="G17" s="20" t="n">
        <v>200</v>
      </c>
      <c r="H17" s="22" t="n">
        <v>7</v>
      </c>
      <c r="I17" s="6" t="inlineStr">
        <is>
          <t>선반 고정 브라켓</t>
        </is>
      </c>
    </row>
    <row r="18">
      <c r="A18" s="5" t="inlineStr">
        <is>
          <t>RM-MT-01</t>
        </is>
      </c>
      <c r="B18" s="6" t="inlineStr">
        <is>
          <t>비닐</t>
        </is>
      </c>
      <c r="C18" s="5" t="inlineStr">
        <is>
          <t>공통부자재</t>
        </is>
      </c>
      <c r="D18" s="5" t="inlineStr">
        <is>
          <t>EA</t>
        </is>
      </c>
      <c r="E18" s="19" t="n">
        <v>1000</v>
      </c>
      <c r="F18" s="19" t="n">
        <v>200</v>
      </c>
      <c r="G18" s="20" t="n">
        <v>400</v>
      </c>
      <c r="H18" s="22" t="n">
        <v>2</v>
      </c>
      <c r="I18" s="6" t="inlineStr">
        <is>
          <t>개별 포장용 비닐</t>
        </is>
      </c>
    </row>
    <row r="19">
      <c r="A19" s="5" t="inlineStr">
        <is>
          <t>RM-MT-02</t>
        </is>
      </c>
      <c r="B19" s="6" t="inlineStr">
        <is>
          <t>칼브럭피스</t>
        </is>
      </c>
      <c r="C19" s="5" t="inlineStr">
        <is>
          <t>공통부자재</t>
        </is>
      </c>
      <c r="D19" s="5" t="inlineStr">
        <is>
          <t>EA</t>
        </is>
      </c>
      <c r="E19" s="19" t="n">
        <v>1000</v>
      </c>
      <c r="F19" s="19" t="n">
        <v>200</v>
      </c>
      <c r="G19" s="20" t="n">
        <v>400</v>
      </c>
      <c r="H19" s="22" t="n">
        <v>2</v>
      </c>
      <c r="I19" s="6" t="inlineStr">
        <is>
          <t>벽면 고정 부속 세트</t>
        </is>
      </c>
    </row>
    <row r="20"/>
    <row r="21"/>
    <row r="22">
      <c r="A22" s="8" t="inlineStr">
        <is>
          <t>■ 완제품 기준정보 마스터 (6개 양산 품목)</t>
        </is>
      </c>
    </row>
    <row r="23" ht="17.25" customHeight="1">
      <c r="A23" s="4" t="inlineStr">
        <is>
          <t>완제품코드</t>
        </is>
      </c>
      <c r="B23" s="4" t="inlineStr">
        <is>
          <t>완제품명</t>
        </is>
      </c>
      <c r="C23" s="4" t="inlineStr">
        <is>
          <t>규격/구분</t>
        </is>
      </c>
      <c r="D23" s="4" t="inlineStr">
        <is>
          <t>기본단위</t>
        </is>
      </c>
      <c r="E23" s="4" t="n">
        <v>0</v>
      </c>
      <c r="F23" t="n">
        <v>0</v>
      </c>
      <c r="G23" t="n">
        <v>0</v>
      </c>
      <c r="H23" t="n">
        <v>5</v>
      </c>
    </row>
    <row r="24">
      <c r="A24" s="5" t="inlineStr">
        <is>
          <t>FG-001</t>
        </is>
      </c>
      <c r="B24" s="6" t="inlineStr">
        <is>
          <t>블랙코너선반</t>
        </is>
      </c>
      <c r="C24" s="5" t="inlineStr">
        <is>
          <t>블랙 / 삼각</t>
        </is>
      </c>
      <c r="D24" s="5" t="inlineStr">
        <is>
          <t>Set</t>
        </is>
      </c>
      <c r="E24" s="6" t="n">
        <v>0</v>
      </c>
      <c r="F24" t="n">
        <v>0</v>
      </c>
      <c r="G24" t="n">
        <v>0</v>
      </c>
      <c r="H24" t="n">
        <v>5</v>
      </c>
    </row>
    <row r="25">
      <c r="A25" s="5" t="inlineStr">
        <is>
          <t>FG-002</t>
        </is>
      </c>
      <c r="B25" s="6" t="inlineStr">
        <is>
          <t>블랙일자선반</t>
        </is>
      </c>
      <c r="C25" s="5" t="inlineStr">
        <is>
          <t>블랙 / 일자</t>
        </is>
      </c>
      <c r="D25" s="5" t="inlineStr">
        <is>
          <t>Set</t>
        </is>
      </c>
      <c r="E25" s="6" t="n">
        <v>0</v>
      </c>
      <c r="F25" t="n">
        <v>0</v>
      </c>
      <c r="G25" t="n">
        <v>0</v>
      </c>
      <c r="H25" t="n">
        <v>5</v>
      </c>
    </row>
    <row r="26">
      <c r="A26" s="5" t="inlineStr">
        <is>
          <t>FG-003</t>
        </is>
      </c>
      <c r="B26" s="6" t="inlineStr">
        <is>
          <t>블랙오각선반</t>
        </is>
      </c>
      <c r="C26" s="5" t="inlineStr">
        <is>
          <t>블랙 / 오각</t>
        </is>
      </c>
      <c r="D26" s="5" t="inlineStr">
        <is>
          <t>Set</t>
        </is>
      </c>
      <c r="E26" s="6" t="n">
        <v>0</v>
      </c>
      <c r="F26" t="n">
        <v>0</v>
      </c>
      <c r="G26" t="n">
        <v>0</v>
      </c>
      <c r="H26" t="n">
        <v>5</v>
      </c>
    </row>
    <row r="27">
      <c r="A27" s="5" t="inlineStr">
        <is>
          <t>FG-004</t>
        </is>
      </c>
      <c r="B27" s="6" t="inlineStr">
        <is>
          <t>코너선반</t>
        </is>
      </c>
      <c r="C27" s="5" t="inlineStr">
        <is>
          <t>그린 / 삼각</t>
        </is>
      </c>
      <c r="D27" s="5" t="inlineStr">
        <is>
          <t>Set</t>
        </is>
      </c>
      <c r="E27" s="6" t="n">
        <v>0</v>
      </c>
      <c r="F27" t="n">
        <v>0</v>
      </c>
      <c r="G27" t="n">
        <v>0</v>
      </c>
      <c r="H27" t="n">
        <v>5</v>
      </c>
    </row>
    <row r="28">
      <c r="A28" s="5" t="inlineStr">
        <is>
          <t>FG-005</t>
        </is>
      </c>
      <c r="B28" s="6" t="inlineStr">
        <is>
          <t>일자선반</t>
        </is>
      </c>
      <c r="C28" s="5" t="inlineStr">
        <is>
          <t>그린 / 일자</t>
        </is>
      </c>
      <c r="D28" s="5" t="inlineStr">
        <is>
          <t>Set</t>
        </is>
      </c>
      <c r="E28" s="6" t="n">
        <v>0</v>
      </c>
      <c r="F28" t="n">
        <v>0</v>
      </c>
      <c r="G28" t="n">
        <v>0</v>
      </c>
      <c r="H28" t="n">
        <v>5</v>
      </c>
    </row>
    <row r="29">
      <c r="A29" s="5" t="inlineStr">
        <is>
          <t>FG-006</t>
        </is>
      </c>
      <c r="B29" s="6" t="inlineStr">
        <is>
          <t>오각선반</t>
        </is>
      </c>
      <c r="C29" s="5" t="inlineStr">
        <is>
          <t>그린 / 오각</t>
        </is>
      </c>
      <c r="D29" s="5" t="inlineStr">
        <is>
          <t>Set</t>
        </is>
      </c>
      <c r="E29" s="6" t="n">
        <v>0</v>
      </c>
      <c r="F29" t="n">
        <v>0</v>
      </c>
      <c r="G29" t="n">
        <v>0</v>
      </c>
      <c r="H2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ColWidth="9" defaultRowHeight="16.5"/>
  <cols>
    <col width="12" customWidth="1" min="1" max="1"/>
    <col width="18" customWidth="1" min="2" max="2"/>
    <col width="13" customWidth="1" min="3" max="3"/>
    <col width="20" customWidth="1" min="4" max="4"/>
    <col width="15" customWidth="1" min="5" max="5"/>
    <col width="7" customWidth="1" min="6" max="6"/>
    <col width="20" customWidth="1" min="7" max="7"/>
    <col width="13" customWidth="1" min="8" max="11"/>
    <col width="12" customWidth="1" min="12" max="13"/>
    <col width="13" customWidth="1" min="14" max="14"/>
    <col width="14" customWidth="1" min="15" max="15"/>
  </cols>
  <sheetData>
    <row r="1" ht="24" customHeight="1">
      <c r="A1" s="2" t="inlineStr">
        <is>
          <t>표준 정규화 자재명세서 (BOM 정규형 마스터 &amp; 연산 엔진)</t>
        </is>
      </c>
    </row>
    <row r="2">
      <c r="A2" s="3" t="inlineStr">
        <is>
          <t>※ 완제품코드와 부품소요량의 단일 기준(Single Source of Truth)이며 생산실적 및 계획과 자동 동기화됩니다.</t>
        </is>
      </c>
    </row>
    <row r="3">
      <c r="A3" s="8" t="inlineStr">
        <is>
          <t>■ BOM 정규형 소요원단위 및 실시간 전개(Explosion) 연산 엔진 테이블</t>
        </is>
      </c>
    </row>
    <row r="4" ht="17.25" customHeight="1">
      <c r="A4" s="9" t="inlineStr">
        <is>
          <t>완제품코드</t>
        </is>
      </c>
      <c r="B4" s="9" t="inlineStr">
        <is>
          <t>완제품명</t>
        </is>
      </c>
      <c r="C4" s="9" t="inlineStr">
        <is>
          <t>부품구분</t>
        </is>
      </c>
      <c r="D4" s="9" t="inlineStr">
        <is>
          <t>부품명</t>
        </is>
      </c>
      <c r="E4" s="9" t="inlineStr">
        <is>
          <t>소요원단위(EA)</t>
        </is>
      </c>
      <c r="F4" s="9" t="inlineStr">
        <is>
          <t>단위</t>
        </is>
      </c>
      <c r="G4" s="9" t="inlineStr">
        <is>
          <t>비고</t>
        </is>
      </c>
      <c r="H4" s="10" t="inlineStr">
        <is>
          <t>누적생산수량</t>
        </is>
      </c>
      <c r="I4" s="10" t="inlineStr">
        <is>
          <t>생산소요량</t>
        </is>
      </c>
      <c r="J4" s="10" t="inlineStr">
        <is>
          <t>계획생산수량</t>
        </is>
      </c>
      <c r="K4" s="10" t="inlineStr">
        <is>
          <t>계획소요량</t>
        </is>
      </c>
      <c r="L4" s="10" t="inlineStr">
        <is>
          <t>부품현재고</t>
        </is>
      </c>
      <c r="M4" s="10" t="inlineStr">
        <is>
          <t>부품가용재고</t>
        </is>
      </c>
      <c r="N4" s="10" t="inlineStr">
        <is>
          <t>현재고가능량</t>
        </is>
      </c>
      <c r="O4" s="10" t="inlineStr">
        <is>
          <t>가용재고가능량</t>
        </is>
      </c>
    </row>
    <row r="5">
      <c r="A5" s="5" t="inlineStr">
        <is>
          <t>FG-001</t>
        </is>
      </c>
      <c r="B5" s="6">
        <f>IFERROR(INDEX(품목_기준정보!$B$24:$B$35,MATCH(A5,품목_기준정보!$A$24:$A$35,0)),"")</f>
        <v/>
      </c>
      <c r="C5" s="5">
        <f>IFERROR(INDEX(품목_기준정보!$C$6:$C$25,MATCH(D5,품목_기준정보!$B$6:$B$25,0)),"")</f>
        <v/>
      </c>
      <c r="D5" s="6" t="inlineStr">
        <is>
          <t>블랙삼각선반</t>
        </is>
      </c>
      <c r="E5" s="19" t="n">
        <v>1</v>
      </c>
      <c r="F5" s="5" t="inlineStr">
        <is>
          <t>EA</t>
        </is>
      </c>
      <c r="G5" s="6" t="inlineStr">
        <is>
          <t>본체 (블랙 삼각)</t>
        </is>
      </c>
      <c r="H5" s="20">
        <f>SUMIFS(생산_실적일지!$G$4:$G$100,생산_실적일지!$D$4:$D$100,A5)</f>
        <v/>
      </c>
      <c r="I5" s="20">
        <f>E5*H5</f>
        <v/>
      </c>
      <c r="J5" s="20">
        <f>SUMIFS(재고현황_대시보드!$C$40:$C$45,재고현황_대시보드!$A$40:$A$45,A5)</f>
        <v/>
      </c>
      <c r="K5" s="20">
        <f>E5*J5</f>
        <v/>
      </c>
      <c r="L5" s="20">
        <f>INDEX(재고현황_대시보드!$I$10:$I$23,MATCH(D5,재고현황_대시보드!$B$10:$B$23,0))</f>
        <v/>
      </c>
      <c r="M5" s="20">
        <f>INDEX(재고현황_대시보드!$K$10:$K$23,MATCH(D5,재고현황_대시보드!$B$10:$B$23,0))</f>
        <v/>
      </c>
      <c r="N5" s="20">
        <f>IF(E5&gt;0,INT(L5/E5),0)</f>
        <v/>
      </c>
      <c r="O5" s="20">
        <f>IF(E5&gt;0,INT(M5/E5),0)</f>
        <v/>
      </c>
    </row>
    <row r="6">
      <c r="A6" s="5" t="inlineStr">
        <is>
          <t>FG-001</t>
        </is>
      </c>
      <c r="B6" s="6">
        <f>IFERROR(INDEX(품목_기준정보!$B$24:$B$35,MATCH(A6,품목_기준정보!$A$24:$A$35,0)),"")</f>
        <v/>
      </c>
      <c r="C6" s="5">
        <f>IFERROR(INDEX(품목_기준정보!$C$6:$C$25,MATCH(D6,품목_기준정보!$B$6:$B$25,0)),"")</f>
        <v/>
      </c>
      <c r="D6" s="6" t="inlineStr">
        <is>
          <t>블랙코너선반가이드</t>
        </is>
      </c>
      <c r="E6" s="19" t="n">
        <v>1</v>
      </c>
      <c r="F6" s="5" t="inlineStr">
        <is>
          <t>EA</t>
        </is>
      </c>
      <c r="G6" s="6" t="inlineStr">
        <is>
          <t>블랙 라운드 가이드</t>
        </is>
      </c>
      <c r="H6" s="20">
        <f>SUMIFS(생산_실적일지!$G$4:$G$100,생산_실적일지!$D$4:$D$100,A6)</f>
        <v/>
      </c>
      <c r="I6" s="20">
        <f>E6*H6</f>
        <v/>
      </c>
      <c r="J6" s="20">
        <f>SUMIFS(재고현황_대시보드!$C$40:$C$45,재고현황_대시보드!$A$40:$A$45,A6)</f>
        <v/>
      </c>
      <c r="K6" s="20">
        <f>E6*J6</f>
        <v/>
      </c>
      <c r="L6" s="20">
        <f>INDEX(재고현황_대시보드!$I$10:$I$23,MATCH(D6,재고현황_대시보드!$B$10:$B$23,0))</f>
        <v/>
      </c>
      <c r="M6" s="20">
        <f>INDEX(재고현황_대시보드!$K$10:$K$23,MATCH(D6,재고현황_대시보드!$B$10:$B$23,0))</f>
        <v/>
      </c>
      <c r="N6" s="20">
        <f>IF(E6&gt;0,INT(L6/E6),0)</f>
        <v/>
      </c>
      <c r="O6" s="20">
        <f>IF(E6&gt;0,INT(M6/E6),0)</f>
        <v/>
      </c>
    </row>
    <row r="7">
      <c r="A7" s="5" t="inlineStr">
        <is>
          <t>FG-001</t>
        </is>
      </c>
      <c r="B7" s="6">
        <f>IFERROR(INDEX(품목_기준정보!$B$24:$B$35,MATCH(A7,품목_기준정보!$A$24:$A$35,0)),"")</f>
        <v/>
      </c>
      <c r="C7" s="5">
        <f>IFERROR(INDEX(품목_기준정보!$C$6:$C$25,MATCH(D7,품목_기준정보!$B$6:$B$25,0)),"")</f>
        <v/>
      </c>
      <c r="D7" s="6" t="inlineStr">
        <is>
          <t>블랙선반브라켓</t>
        </is>
      </c>
      <c r="E7" s="19" t="n">
        <v>2</v>
      </c>
      <c r="F7" s="5" t="inlineStr">
        <is>
          <t>EA</t>
        </is>
      </c>
      <c r="G7" s="6" t="inlineStr">
        <is>
          <t>선반 고정 브라켓</t>
        </is>
      </c>
      <c r="H7" s="20">
        <f>SUMIFS(생산_실적일지!$G$4:$G$100,생산_실적일지!$D$4:$D$100,A7)</f>
        <v/>
      </c>
      <c r="I7" s="20">
        <f>E7*H7</f>
        <v/>
      </c>
      <c r="J7" s="20">
        <f>SUMIFS(재고현황_대시보드!$C$40:$C$45,재고현황_대시보드!$A$40:$A$45,A7)</f>
        <v/>
      </c>
      <c r="K7" s="20">
        <f>E7*J7</f>
        <v/>
      </c>
      <c r="L7" s="20">
        <f>INDEX(재고현황_대시보드!$I$10:$I$23,MATCH(D7,재고현황_대시보드!$B$10:$B$23,0))</f>
        <v/>
      </c>
      <c r="M7" s="20">
        <f>INDEX(재고현황_대시보드!$K$10:$K$23,MATCH(D7,재고현황_대시보드!$B$10:$B$23,0))</f>
        <v/>
      </c>
      <c r="N7" s="20">
        <f>IF(E7&gt;0,INT(L7/E7),0)</f>
        <v/>
      </c>
      <c r="O7" s="20">
        <f>IF(E7&gt;0,INT(M7/E7),0)</f>
        <v/>
      </c>
    </row>
    <row r="8">
      <c r="A8" s="5" t="inlineStr">
        <is>
          <t>FG-001</t>
        </is>
      </c>
      <c r="B8" s="6">
        <f>IFERROR(INDEX(품목_기준정보!$B$24:$B$35,MATCH(A8,품목_기준정보!$A$24:$A$35,0)),"")</f>
        <v/>
      </c>
      <c r="C8" s="5">
        <f>IFERROR(INDEX(품목_기준정보!$C$6:$C$25,MATCH(D8,품목_기준정보!$B$6:$B$25,0)),"")</f>
        <v/>
      </c>
      <c r="D8" s="6" t="inlineStr">
        <is>
          <t>비닐</t>
        </is>
      </c>
      <c r="E8" s="19" t="n">
        <v>1</v>
      </c>
      <c r="F8" s="5" t="inlineStr">
        <is>
          <t>EA</t>
        </is>
      </c>
      <c r="G8" s="6" t="inlineStr">
        <is>
          <t>개별 포장용 비닐</t>
        </is>
      </c>
      <c r="H8" s="20">
        <f>SUMIFS(생산_실적일지!$G$4:$G$100,생산_실적일지!$D$4:$D$100,A8)</f>
        <v/>
      </c>
      <c r="I8" s="20">
        <f>E8*H8</f>
        <v/>
      </c>
      <c r="J8" s="20">
        <f>SUMIFS(재고현황_대시보드!$C$40:$C$45,재고현황_대시보드!$A$40:$A$45,A8)</f>
        <v/>
      </c>
      <c r="K8" s="20">
        <f>E8*J8</f>
        <v/>
      </c>
      <c r="L8" s="20">
        <f>INDEX(재고현황_대시보드!$I$10:$I$23,MATCH(D8,재고현황_대시보드!$B$10:$B$23,0))</f>
        <v/>
      </c>
      <c r="M8" s="20">
        <f>INDEX(재고현황_대시보드!$K$10:$K$23,MATCH(D8,재고현황_대시보드!$B$10:$B$23,0))</f>
        <v/>
      </c>
      <c r="N8" s="20">
        <f>IF(E8&gt;0,INT(L8/E8),0)</f>
        <v/>
      </c>
      <c r="O8" s="20">
        <f>IF(E8&gt;0,INT(M8/E8),0)</f>
        <v/>
      </c>
    </row>
    <row r="9">
      <c r="A9" s="5" t="inlineStr">
        <is>
          <t>FG-001</t>
        </is>
      </c>
      <c r="B9" s="6">
        <f>IFERROR(INDEX(품목_기준정보!$B$24:$B$35,MATCH(A9,품목_기준정보!$A$24:$A$35,0)),"")</f>
        <v/>
      </c>
      <c r="C9" s="5">
        <f>IFERROR(INDEX(품목_기준정보!$C$6:$C$25,MATCH(D9,품목_기준정보!$B$6:$B$25,0)),"")</f>
        <v/>
      </c>
      <c r="D9" s="6" t="inlineStr">
        <is>
          <t>칼브럭피스</t>
        </is>
      </c>
      <c r="E9" s="19" t="n">
        <v>1</v>
      </c>
      <c r="F9" s="5" t="inlineStr">
        <is>
          <t>EA</t>
        </is>
      </c>
      <c r="G9" s="6" t="inlineStr">
        <is>
          <t>벽면 고정 부속 세트</t>
        </is>
      </c>
      <c r="H9" s="20">
        <f>SUMIFS(생산_실적일지!$G$4:$G$100,생산_실적일지!$D$4:$D$100,A9)</f>
        <v/>
      </c>
      <c r="I9" s="20">
        <f>E9*H9</f>
        <v/>
      </c>
      <c r="J9" s="20">
        <f>SUMIFS(재고현황_대시보드!$C$40:$C$45,재고현황_대시보드!$A$40:$A$45,A9)</f>
        <v/>
      </c>
      <c r="K9" s="20">
        <f>E9*J9</f>
        <v/>
      </c>
      <c r="L9" s="20">
        <f>INDEX(재고현황_대시보드!$I$10:$I$23,MATCH(D9,재고현황_대시보드!$B$10:$B$23,0))</f>
        <v/>
      </c>
      <c r="M9" s="20">
        <f>INDEX(재고현황_대시보드!$K$10:$K$23,MATCH(D9,재고현황_대시보드!$B$10:$B$23,0))</f>
        <v/>
      </c>
      <c r="N9" s="20">
        <f>IF(E9&gt;0,INT(L9/E9),0)</f>
        <v/>
      </c>
      <c r="O9" s="20">
        <f>IF(E9&gt;0,INT(M9/E9),0)</f>
        <v/>
      </c>
    </row>
    <row r="10">
      <c r="A10" s="5" t="inlineStr">
        <is>
          <t>FG-002</t>
        </is>
      </c>
      <c r="B10" s="6">
        <f>IFERROR(INDEX(품목_기준정보!$B$24:$B$35,MATCH(A10,품목_기준정보!$A$24:$A$35,0)),"")</f>
        <v/>
      </c>
      <c r="C10" s="5">
        <f>IFERROR(INDEX(품목_기준정보!$C$6:$C$25,MATCH(D10,품목_기준정보!$B$6:$B$25,0)),"")</f>
        <v/>
      </c>
      <c r="D10" s="6" t="inlineStr">
        <is>
          <t>블랙일자선반</t>
        </is>
      </c>
      <c r="E10" s="19" t="n">
        <v>1</v>
      </c>
      <c r="F10" s="5" t="inlineStr">
        <is>
          <t>EA</t>
        </is>
      </c>
      <c r="G10" s="6" t="inlineStr">
        <is>
          <t>본체 (블랙 일자)</t>
        </is>
      </c>
      <c r="H10" s="20">
        <f>SUMIFS(생산_실적일지!$G$4:$G$100,생산_실적일지!$D$4:$D$100,A10)</f>
        <v/>
      </c>
      <c r="I10" s="20">
        <f>E10*H10</f>
        <v/>
      </c>
      <c r="J10" s="20">
        <f>SUMIFS(재고현황_대시보드!$C$40:$C$45,재고현황_대시보드!$A$40:$A$45,A10)</f>
        <v/>
      </c>
      <c r="K10" s="20">
        <f>E10*J10</f>
        <v/>
      </c>
      <c r="L10" s="20">
        <f>INDEX(재고현황_대시보드!$I$10:$I$23,MATCH(D10,재고현황_대시보드!$B$10:$B$23,0))</f>
        <v/>
      </c>
      <c r="M10" s="20">
        <f>INDEX(재고현황_대시보드!$K$10:$K$23,MATCH(D10,재고현황_대시보드!$B$10:$B$23,0))</f>
        <v/>
      </c>
      <c r="N10" s="20">
        <f>IF(E10&gt;0,INT(L10/E10),0)</f>
        <v/>
      </c>
      <c r="O10" s="20">
        <f>IF(E10&gt;0,INT(M10/E10),0)</f>
        <v/>
      </c>
    </row>
    <row r="11">
      <c r="A11" s="5" t="inlineStr">
        <is>
          <t>FG-002</t>
        </is>
      </c>
      <c r="B11" s="6">
        <f>IFERROR(INDEX(품목_기준정보!$B$24:$B$35,MATCH(A11,품목_기준정보!$A$24:$A$35,0)),"")</f>
        <v/>
      </c>
      <c r="C11" s="5">
        <f>IFERROR(INDEX(품목_기준정보!$C$6:$C$25,MATCH(D11,품목_기준정보!$B$6:$B$25,0)),"")</f>
        <v/>
      </c>
      <c r="D11" s="6" t="inlineStr">
        <is>
          <t>블랙일자선반가이드</t>
        </is>
      </c>
      <c r="E11" s="19" t="n">
        <v>2</v>
      </c>
      <c r="F11" s="5" t="inlineStr">
        <is>
          <t>EA</t>
        </is>
      </c>
      <c r="G11" s="6" t="inlineStr">
        <is>
          <t>일자선반 가이드 2개</t>
        </is>
      </c>
      <c r="H11" s="20">
        <f>SUMIFS(생산_실적일지!$G$4:$G$100,생산_실적일지!$D$4:$D$100,A11)</f>
        <v/>
      </c>
      <c r="I11" s="20">
        <f>E11*H11</f>
        <v/>
      </c>
      <c r="J11" s="20">
        <f>SUMIFS(재고현황_대시보드!$C$40:$C$45,재고현황_대시보드!$A$40:$A$45,A11)</f>
        <v/>
      </c>
      <c r="K11" s="20">
        <f>E11*J11</f>
        <v/>
      </c>
      <c r="L11" s="20">
        <f>INDEX(재고현황_대시보드!$I$10:$I$23,MATCH(D11,재고현황_대시보드!$B$10:$B$23,0))</f>
        <v/>
      </c>
      <c r="M11" s="20">
        <f>INDEX(재고현황_대시보드!$K$10:$K$23,MATCH(D11,재고현황_대시보드!$B$10:$B$23,0))</f>
        <v/>
      </c>
      <c r="N11" s="20">
        <f>IF(E11&gt;0,INT(L11/E11),0)</f>
        <v/>
      </c>
      <c r="O11" s="20">
        <f>IF(E11&gt;0,INT(M11/E11),0)</f>
        <v/>
      </c>
    </row>
    <row r="12">
      <c r="A12" s="5" t="inlineStr">
        <is>
          <t>FG-002</t>
        </is>
      </c>
      <c r="B12" s="6">
        <f>IFERROR(INDEX(품목_기준정보!$B$24:$B$35,MATCH(A12,품목_기준정보!$A$24:$A$35,0)),"")</f>
        <v/>
      </c>
      <c r="C12" s="5">
        <f>IFERROR(INDEX(품목_기준정보!$C$6:$C$25,MATCH(D12,품목_기준정보!$B$6:$B$25,0)),"")</f>
        <v/>
      </c>
      <c r="D12" s="6" t="inlineStr">
        <is>
          <t>블랙선반브라켓</t>
        </is>
      </c>
      <c r="E12" s="19" t="n">
        <v>2</v>
      </c>
      <c r="F12" s="5" t="inlineStr">
        <is>
          <t>EA</t>
        </is>
      </c>
      <c r="G12" s="6" t="inlineStr">
        <is>
          <t>선반 고정 브라켓</t>
        </is>
      </c>
      <c r="H12" s="20">
        <f>SUMIFS(생산_실적일지!$G$4:$G$100,생산_실적일지!$D$4:$D$100,A12)</f>
        <v/>
      </c>
      <c r="I12" s="20">
        <f>E12*H12</f>
        <v/>
      </c>
      <c r="J12" s="20">
        <f>SUMIFS(재고현황_대시보드!$C$40:$C$45,재고현황_대시보드!$A$40:$A$45,A12)</f>
        <v/>
      </c>
      <c r="K12" s="20">
        <f>E12*J12</f>
        <v/>
      </c>
      <c r="L12" s="20">
        <f>INDEX(재고현황_대시보드!$I$10:$I$23,MATCH(D12,재고현황_대시보드!$B$10:$B$23,0))</f>
        <v/>
      </c>
      <c r="M12" s="20">
        <f>INDEX(재고현황_대시보드!$K$10:$K$23,MATCH(D12,재고현황_대시보드!$B$10:$B$23,0))</f>
        <v/>
      </c>
      <c r="N12" s="20">
        <f>IF(E12&gt;0,INT(L12/E12),0)</f>
        <v/>
      </c>
      <c r="O12" s="20">
        <f>IF(E12&gt;0,INT(M12/E12),0)</f>
        <v/>
      </c>
    </row>
    <row r="13">
      <c r="A13" s="5" t="inlineStr">
        <is>
          <t>FG-002</t>
        </is>
      </c>
      <c r="B13" s="6">
        <f>IFERROR(INDEX(품목_기준정보!$B$24:$B$35,MATCH(A13,품목_기준정보!$A$24:$A$35,0)),"")</f>
        <v/>
      </c>
      <c r="C13" s="5">
        <f>IFERROR(INDEX(품목_기준정보!$C$6:$C$25,MATCH(D13,품목_기준정보!$B$6:$B$25,0)),"")</f>
        <v/>
      </c>
      <c r="D13" s="6" t="inlineStr">
        <is>
          <t>비닐</t>
        </is>
      </c>
      <c r="E13" s="19" t="n">
        <v>1</v>
      </c>
      <c r="F13" s="5" t="inlineStr">
        <is>
          <t>EA</t>
        </is>
      </c>
      <c r="G13" s="6" t="inlineStr">
        <is>
          <t>개별 포장용 비닐</t>
        </is>
      </c>
      <c r="H13" s="20">
        <f>SUMIFS(생산_실적일지!$G$4:$G$100,생산_실적일지!$D$4:$D$100,A13)</f>
        <v/>
      </c>
      <c r="I13" s="20">
        <f>E13*H13</f>
        <v/>
      </c>
      <c r="J13" s="20">
        <f>SUMIFS(재고현황_대시보드!$C$40:$C$45,재고현황_대시보드!$A$40:$A$45,A13)</f>
        <v/>
      </c>
      <c r="K13" s="20">
        <f>E13*J13</f>
        <v/>
      </c>
      <c r="L13" s="20">
        <f>INDEX(재고현황_대시보드!$I$10:$I$23,MATCH(D13,재고현황_대시보드!$B$10:$B$23,0))</f>
        <v/>
      </c>
      <c r="M13" s="20">
        <f>INDEX(재고현황_대시보드!$K$10:$K$23,MATCH(D13,재고현황_대시보드!$B$10:$B$23,0))</f>
        <v/>
      </c>
      <c r="N13" s="20">
        <f>IF(E13&gt;0,INT(L13/E13),0)</f>
        <v/>
      </c>
      <c r="O13" s="20">
        <f>IF(E13&gt;0,INT(M13/E13),0)</f>
        <v/>
      </c>
    </row>
    <row r="14">
      <c r="A14" s="5" t="inlineStr">
        <is>
          <t>FG-002</t>
        </is>
      </c>
      <c r="B14" s="6">
        <f>IFERROR(INDEX(품목_기준정보!$B$24:$B$35,MATCH(A14,품목_기준정보!$A$24:$A$35,0)),"")</f>
        <v/>
      </c>
      <c r="C14" s="5">
        <f>IFERROR(INDEX(품목_기준정보!$C$6:$C$25,MATCH(D14,품목_기준정보!$B$6:$B$25,0)),"")</f>
        <v/>
      </c>
      <c r="D14" s="6" t="inlineStr">
        <is>
          <t>칼브럭피스</t>
        </is>
      </c>
      <c r="E14" s="19" t="n">
        <v>1</v>
      </c>
      <c r="F14" s="5" t="inlineStr">
        <is>
          <t>EA</t>
        </is>
      </c>
      <c r="G14" s="6" t="inlineStr">
        <is>
          <t>벽면 고정 부속 세트</t>
        </is>
      </c>
      <c r="H14" s="20">
        <f>SUMIFS(생산_실적일지!$G$4:$G$100,생산_실적일지!$D$4:$D$100,A14)</f>
        <v/>
      </c>
      <c r="I14" s="20">
        <f>E14*H14</f>
        <v/>
      </c>
      <c r="J14" s="20">
        <f>SUMIFS(재고현황_대시보드!$C$40:$C$45,재고현황_대시보드!$A$40:$A$45,A14)</f>
        <v/>
      </c>
      <c r="K14" s="20">
        <f>E14*J14</f>
        <v/>
      </c>
      <c r="L14" s="20">
        <f>INDEX(재고현황_대시보드!$I$10:$I$23,MATCH(D14,재고현황_대시보드!$B$10:$B$23,0))</f>
        <v/>
      </c>
      <c r="M14" s="20">
        <f>INDEX(재고현황_대시보드!$K$10:$K$23,MATCH(D14,재고현황_대시보드!$B$10:$B$23,0))</f>
        <v/>
      </c>
      <c r="N14" s="20">
        <f>IF(E14&gt;0,INT(L14/E14),0)</f>
        <v/>
      </c>
      <c r="O14" s="20">
        <f>IF(E14&gt;0,INT(M14/E14),0)</f>
        <v/>
      </c>
    </row>
    <row r="15">
      <c r="A15" s="5" t="inlineStr">
        <is>
          <t>FG-003</t>
        </is>
      </c>
      <c r="B15" s="6">
        <f>IFERROR(INDEX(품목_기준정보!$B$24:$B$35,MATCH(A15,품목_기준정보!$A$24:$A$35,0)),"")</f>
        <v/>
      </c>
      <c r="C15" s="5">
        <f>IFERROR(INDEX(품목_기준정보!$C$6:$C$25,MATCH(D15,품목_기준정보!$B$6:$B$25,0)),"")</f>
        <v/>
      </c>
      <c r="D15" s="6" t="inlineStr">
        <is>
          <t>블랙오각선반</t>
        </is>
      </c>
      <c r="E15" s="19" t="n">
        <v>1</v>
      </c>
      <c r="F15" s="5" t="inlineStr">
        <is>
          <t>EA</t>
        </is>
      </c>
      <c r="G15" s="6" t="inlineStr">
        <is>
          <t>본체 (블랙 오각)</t>
        </is>
      </c>
      <c r="H15" s="20">
        <f>SUMIFS(생산_실적일지!$G$4:$G$100,생산_실적일지!$D$4:$D$100,A15)</f>
        <v/>
      </c>
      <c r="I15" s="20">
        <f>E15*H15</f>
        <v/>
      </c>
      <c r="J15" s="20">
        <f>SUMIFS(재고현황_대시보드!$C$40:$C$45,재고현황_대시보드!$A$40:$A$45,A15)</f>
        <v/>
      </c>
      <c r="K15" s="20">
        <f>E15*J15</f>
        <v/>
      </c>
      <c r="L15" s="20">
        <f>INDEX(재고현황_대시보드!$I$10:$I$23,MATCH(D15,재고현황_대시보드!$B$10:$B$23,0))</f>
        <v/>
      </c>
      <c r="M15" s="20">
        <f>INDEX(재고현황_대시보드!$K$10:$K$23,MATCH(D15,재고현황_대시보드!$B$10:$B$23,0))</f>
        <v/>
      </c>
      <c r="N15" s="20">
        <f>IF(E15&gt;0,INT(L15/E15),0)</f>
        <v/>
      </c>
      <c r="O15" s="20">
        <f>IF(E15&gt;0,INT(M15/E15),0)</f>
        <v/>
      </c>
    </row>
    <row r="16">
      <c r="A16" s="5" t="inlineStr">
        <is>
          <t>FG-003</t>
        </is>
      </c>
      <c r="B16" s="6">
        <f>IFERROR(INDEX(품목_기준정보!$B$24:$B$35,MATCH(A16,품목_기준정보!$A$24:$A$35,0)),"")</f>
        <v/>
      </c>
      <c r="C16" s="5">
        <f>IFERROR(INDEX(품목_기준정보!$C$6:$C$25,MATCH(D16,품목_기준정보!$B$6:$B$25,0)),"")</f>
        <v/>
      </c>
      <c r="D16" s="6" t="inlineStr">
        <is>
          <t>블랙일자선반가이드</t>
        </is>
      </c>
      <c r="E16" s="19" t="n">
        <v>1</v>
      </c>
      <c r="F16" s="5" t="inlineStr">
        <is>
          <t>EA</t>
        </is>
      </c>
      <c r="G16" s="6" t="inlineStr">
        <is>
          <t>오각선반 가이드 1개</t>
        </is>
      </c>
      <c r="H16" s="20">
        <f>SUMIFS(생산_실적일지!$G$4:$G$100,생산_실적일지!$D$4:$D$100,A16)</f>
        <v/>
      </c>
      <c r="I16" s="20">
        <f>E16*H16</f>
        <v/>
      </c>
      <c r="J16" s="20">
        <f>SUMIFS(재고현황_대시보드!$C$40:$C$45,재고현황_대시보드!$A$40:$A$45,A16)</f>
        <v/>
      </c>
      <c r="K16" s="20">
        <f>E16*J16</f>
        <v/>
      </c>
      <c r="L16" s="20">
        <f>INDEX(재고현황_대시보드!$I$10:$I$23,MATCH(D16,재고현황_대시보드!$B$10:$B$23,0))</f>
        <v/>
      </c>
      <c r="M16" s="20">
        <f>INDEX(재고현황_대시보드!$K$10:$K$23,MATCH(D16,재고현황_대시보드!$B$10:$B$23,0))</f>
        <v/>
      </c>
      <c r="N16" s="20">
        <f>IF(E16&gt;0,INT(L16/E16),0)</f>
        <v/>
      </c>
      <c r="O16" s="20">
        <f>IF(E16&gt;0,INT(M16/E16),0)</f>
        <v/>
      </c>
    </row>
    <row r="17">
      <c r="A17" s="5" t="inlineStr">
        <is>
          <t>FG-003</t>
        </is>
      </c>
      <c r="B17" s="6">
        <f>IFERROR(INDEX(품목_기준정보!$B$24:$B$35,MATCH(A17,품목_기준정보!$A$24:$A$35,0)),"")</f>
        <v/>
      </c>
      <c r="C17" s="5">
        <f>IFERROR(INDEX(품목_기준정보!$C$6:$C$25,MATCH(D17,품목_기준정보!$B$6:$B$25,0)),"")</f>
        <v/>
      </c>
      <c r="D17" s="6" t="inlineStr">
        <is>
          <t>블랙선반브라켓</t>
        </is>
      </c>
      <c r="E17" s="19" t="n">
        <v>2</v>
      </c>
      <c r="F17" s="5" t="inlineStr">
        <is>
          <t>EA</t>
        </is>
      </c>
      <c r="G17" s="6" t="inlineStr">
        <is>
          <t>선반 고정 브라켓</t>
        </is>
      </c>
      <c r="H17" s="20">
        <f>SUMIFS(생산_실적일지!$G$4:$G$100,생산_실적일지!$D$4:$D$100,A17)</f>
        <v/>
      </c>
      <c r="I17" s="20">
        <f>E17*H17</f>
        <v/>
      </c>
      <c r="J17" s="20">
        <f>SUMIFS(재고현황_대시보드!$C$40:$C$45,재고현황_대시보드!$A$40:$A$45,A17)</f>
        <v/>
      </c>
      <c r="K17" s="20">
        <f>E17*J17</f>
        <v/>
      </c>
      <c r="L17" s="20">
        <f>INDEX(재고현황_대시보드!$I$10:$I$23,MATCH(D17,재고현황_대시보드!$B$10:$B$23,0))</f>
        <v/>
      </c>
      <c r="M17" s="20">
        <f>INDEX(재고현황_대시보드!$K$10:$K$23,MATCH(D17,재고현황_대시보드!$B$10:$B$23,0))</f>
        <v/>
      </c>
      <c r="N17" s="20">
        <f>IF(E17&gt;0,INT(L17/E17),0)</f>
        <v/>
      </c>
      <c r="O17" s="20">
        <f>IF(E17&gt;0,INT(M17/E17),0)</f>
        <v/>
      </c>
    </row>
    <row r="18">
      <c r="A18" s="5" t="inlineStr">
        <is>
          <t>FG-003</t>
        </is>
      </c>
      <c r="B18" s="6">
        <f>IFERROR(INDEX(품목_기준정보!$B$24:$B$35,MATCH(A18,품목_기준정보!$A$24:$A$35,0)),"")</f>
        <v/>
      </c>
      <c r="C18" s="5">
        <f>IFERROR(INDEX(품목_기준정보!$C$6:$C$25,MATCH(D18,품목_기준정보!$B$6:$B$25,0)),"")</f>
        <v/>
      </c>
      <c r="D18" s="6" t="inlineStr">
        <is>
          <t>비닐</t>
        </is>
      </c>
      <c r="E18" s="19" t="n">
        <v>1</v>
      </c>
      <c r="F18" s="5" t="inlineStr">
        <is>
          <t>EA</t>
        </is>
      </c>
      <c r="G18" s="6" t="inlineStr">
        <is>
          <t>개별 포장용 비닐</t>
        </is>
      </c>
      <c r="H18" s="20">
        <f>SUMIFS(생산_실적일지!$G$4:$G$100,생산_실적일지!$D$4:$D$100,A18)</f>
        <v/>
      </c>
      <c r="I18" s="20">
        <f>E18*H18</f>
        <v/>
      </c>
      <c r="J18" s="20">
        <f>SUMIFS(재고현황_대시보드!$C$40:$C$45,재고현황_대시보드!$A$40:$A$45,A18)</f>
        <v/>
      </c>
      <c r="K18" s="20">
        <f>E18*J18</f>
        <v/>
      </c>
      <c r="L18" s="20">
        <f>INDEX(재고현황_대시보드!$I$10:$I$23,MATCH(D18,재고현황_대시보드!$B$10:$B$23,0))</f>
        <v/>
      </c>
      <c r="M18" s="20">
        <f>INDEX(재고현황_대시보드!$K$10:$K$23,MATCH(D18,재고현황_대시보드!$B$10:$B$23,0))</f>
        <v/>
      </c>
      <c r="N18" s="20">
        <f>IF(E18&gt;0,INT(L18/E18),0)</f>
        <v/>
      </c>
      <c r="O18" s="20">
        <f>IF(E18&gt;0,INT(M18/E18),0)</f>
        <v/>
      </c>
    </row>
    <row r="19">
      <c r="A19" s="5" t="inlineStr">
        <is>
          <t>FG-003</t>
        </is>
      </c>
      <c r="B19" s="6">
        <f>IFERROR(INDEX(품목_기준정보!$B$24:$B$35,MATCH(A19,품목_기준정보!$A$24:$A$35,0)),"")</f>
        <v/>
      </c>
      <c r="C19" s="5">
        <f>IFERROR(INDEX(품목_기준정보!$C$6:$C$25,MATCH(D19,품목_기준정보!$B$6:$B$25,0)),"")</f>
        <v/>
      </c>
      <c r="D19" s="6" t="inlineStr">
        <is>
          <t>칼브럭피스</t>
        </is>
      </c>
      <c r="E19" s="19" t="n">
        <v>1</v>
      </c>
      <c r="F19" s="5" t="inlineStr">
        <is>
          <t>EA</t>
        </is>
      </c>
      <c r="G19" s="6" t="inlineStr">
        <is>
          <t>벽면 고정 부속 세트</t>
        </is>
      </c>
      <c r="H19" s="20">
        <f>SUMIFS(생산_실적일지!$G$4:$G$100,생산_실적일지!$D$4:$D$100,A19)</f>
        <v/>
      </c>
      <c r="I19" s="20">
        <f>E19*H19</f>
        <v/>
      </c>
      <c r="J19" s="20">
        <f>SUMIFS(재고현황_대시보드!$C$40:$C$45,재고현황_대시보드!$A$40:$A$45,A19)</f>
        <v/>
      </c>
      <c r="K19" s="20">
        <f>E19*J19</f>
        <v/>
      </c>
      <c r="L19" s="20">
        <f>INDEX(재고현황_대시보드!$I$10:$I$23,MATCH(D19,재고현황_대시보드!$B$10:$B$23,0))</f>
        <v/>
      </c>
      <c r="M19" s="20">
        <f>INDEX(재고현황_대시보드!$K$10:$K$23,MATCH(D19,재고현황_대시보드!$B$10:$B$23,0))</f>
        <v/>
      </c>
      <c r="N19" s="20">
        <f>IF(E19&gt;0,INT(L19/E19),0)</f>
        <v/>
      </c>
      <c r="O19" s="20">
        <f>IF(E19&gt;0,INT(M19/E19),0)</f>
        <v/>
      </c>
    </row>
    <row r="20">
      <c r="A20" s="5" t="inlineStr">
        <is>
          <t>FG-004</t>
        </is>
      </c>
      <c r="B20" s="6">
        <f>IFERROR(INDEX(품목_기준정보!$B$24:$B$35,MATCH(A20,품목_기준정보!$A$24:$A$35,0)),"")</f>
        <v/>
      </c>
      <c r="C20" s="5">
        <f>IFERROR(INDEX(품목_기준정보!$C$6:$C$25,MATCH(D20,품목_기준정보!$B$6:$B$25,0)),"")</f>
        <v/>
      </c>
      <c r="D20" s="6" t="inlineStr">
        <is>
          <t>그린삼각선반</t>
        </is>
      </c>
      <c r="E20" s="19" t="n">
        <v>1</v>
      </c>
      <c r="F20" s="5" t="inlineStr">
        <is>
          <t>EA</t>
        </is>
      </c>
      <c r="G20" s="6" t="inlineStr">
        <is>
          <t>본체 (그린 삼각)</t>
        </is>
      </c>
      <c r="H20" s="20">
        <f>SUMIFS(생산_실적일지!$G$4:$G$100,생산_실적일지!$D$4:$D$100,A20)</f>
        <v/>
      </c>
      <c r="I20" s="20">
        <f>E20*H20</f>
        <v/>
      </c>
      <c r="J20" s="20">
        <f>SUMIFS(재고현황_대시보드!$C$40:$C$45,재고현황_대시보드!$A$40:$A$45,A20)</f>
        <v/>
      </c>
      <c r="K20" s="20">
        <f>E20*J20</f>
        <v/>
      </c>
      <c r="L20" s="20">
        <f>INDEX(재고현황_대시보드!$I$10:$I$23,MATCH(D20,재고현황_대시보드!$B$10:$B$23,0))</f>
        <v/>
      </c>
      <c r="M20" s="20">
        <f>INDEX(재고현황_대시보드!$K$10:$K$23,MATCH(D20,재고현황_대시보드!$B$10:$B$23,0))</f>
        <v/>
      </c>
      <c r="N20" s="20">
        <f>IF(E20&gt;0,INT(L20/E20),0)</f>
        <v/>
      </c>
      <c r="O20" s="20">
        <f>IF(E20&gt;0,INT(M20/E20),0)</f>
        <v/>
      </c>
    </row>
    <row r="21">
      <c r="A21" s="5" t="inlineStr">
        <is>
          <t>FG-004</t>
        </is>
      </c>
      <c r="B21" s="6">
        <f>IFERROR(INDEX(품목_기준정보!$B$24:$B$35,MATCH(A21,품목_기준정보!$A$24:$A$35,0)),"")</f>
        <v/>
      </c>
      <c r="C21" s="5">
        <f>IFERROR(INDEX(품목_기준정보!$C$6:$C$25,MATCH(D21,품목_기준정보!$B$6:$B$25,0)),"")</f>
        <v/>
      </c>
      <c r="D21" s="6" t="inlineStr">
        <is>
          <t>크롬코너선반가이드</t>
        </is>
      </c>
      <c r="E21" s="19" t="n">
        <v>1</v>
      </c>
      <c r="F21" s="5" t="inlineStr">
        <is>
          <t>EA</t>
        </is>
      </c>
      <c r="G21" s="6" t="inlineStr">
        <is>
          <t>크롬 라운드 가이드</t>
        </is>
      </c>
      <c r="H21" s="20">
        <f>SUMIFS(생산_실적일지!$G$4:$G$100,생산_실적일지!$D$4:$D$100,A21)</f>
        <v/>
      </c>
      <c r="I21" s="20">
        <f>E21*H21</f>
        <v/>
      </c>
      <c r="J21" s="20">
        <f>SUMIFS(재고현황_대시보드!$C$40:$C$45,재고현황_대시보드!$A$40:$A$45,A21)</f>
        <v/>
      </c>
      <c r="K21" s="20">
        <f>E21*J21</f>
        <v/>
      </c>
      <c r="L21" s="20">
        <f>INDEX(재고현황_대시보드!$I$10:$I$23,MATCH(D21,재고현황_대시보드!$B$10:$B$23,0))</f>
        <v/>
      </c>
      <c r="M21" s="20">
        <f>INDEX(재고현황_대시보드!$K$10:$K$23,MATCH(D21,재고현황_대시보드!$B$10:$B$23,0))</f>
        <v/>
      </c>
      <c r="N21" s="20">
        <f>IF(E21&gt;0,INT(L21/E21),0)</f>
        <v/>
      </c>
      <c r="O21" s="20">
        <f>IF(E21&gt;0,INT(M21/E21),0)</f>
        <v/>
      </c>
    </row>
    <row r="22">
      <c r="A22" s="5" t="inlineStr">
        <is>
          <t>FG-004</t>
        </is>
      </c>
      <c r="B22" s="6">
        <f>IFERROR(INDEX(품목_기준정보!$B$24:$B$35,MATCH(A22,품목_기준정보!$A$24:$A$35,0)),"")</f>
        <v/>
      </c>
      <c r="C22" s="5">
        <f>IFERROR(INDEX(품목_기준정보!$C$6:$C$25,MATCH(D22,품목_기준정보!$B$6:$B$25,0)),"")</f>
        <v/>
      </c>
      <c r="D22" s="6" t="inlineStr">
        <is>
          <t>크롬선반브라켓</t>
        </is>
      </c>
      <c r="E22" s="19" t="n">
        <v>2</v>
      </c>
      <c r="F22" s="5" t="inlineStr">
        <is>
          <t>EA</t>
        </is>
      </c>
      <c r="G22" s="6" t="inlineStr">
        <is>
          <t>선반 고정 브라켓</t>
        </is>
      </c>
      <c r="H22" s="20">
        <f>SUMIFS(생산_실적일지!$G$4:$G$100,생산_실적일지!$D$4:$D$100,A22)</f>
        <v/>
      </c>
      <c r="I22" s="20">
        <f>E22*H22</f>
        <v/>
      </c>
      <c r="J22" s="20">
        <f>SUMIFS(재고현황_대시보드!$C$40:$C$45,재고현황_대시보드!$A$40:$A$45,A22)</f>
        <v/>
      </c>
      <c r="K22" s="20">
        <f>E22*J22</f>
        <v/>
      </c>
      <c r="L22" s="20">
        <f>INDEX(재고현황_대시보드!$I$10:$I$23,MATCH(D22,재고현황_대시보드!$B$10:$B$23,0))</f>
        <v/>
      </c>
      <c r="M22" s="20">
        <f>INDEX(재고현황_대시보드!$K$10:$K$23,MATCH(D22,재고현황_대시보드!$B$10:$B$23,0))</f>
        <v/>
      </c>
      <c r="N22" s="20">
        <f>IF(E22&gt;0,INT(L22/E22),0)</f>
        <v/>
      </c>
      <c r="O22" s="20">
        <f>IF(E22&gt;0,INT(M22/E22),0)</f>
        <v/>
      </c>
    </row>
    <row r="23">
      <c r="A23" s="5" t="inlineStr">
        <is>
          <t>FG-004</t>
        </is>
      </c>
      <c r="B23" s="6">
        <f>IFERROR(INDEX(품목_기준정보!$B$24:$B$35,MATCH(A23,품목_기준정보!$A$24:$A$35,0)),"")</f>
        <v/>
      </c>
      <c r="C23" s="5">
        <f>IFERROR(INDEX(품목_기준정보!$C$6:$C$25,MATCH(D23,품목_기준정보!$B$6:$B$25,0)),"")</f>
        <v/>
      </c>
      <c r="D23" s="6" t="inlineStr">
        <is>
          <t>비닐</t>
        </is>
      </c>
      <c r="E23" s="19" t="n">
        <v>1</v>
      </c>
      <c r="F23" s="5" t="inlineStr">
        <is>
          <t>EA</t>
        </is>
      </c>
      <c r="G23" s="6" t="inlineStr">
        <is>
          <t>개별 포장용 비닐</t>
        </is>
      </c>
      <c r="H23" s="20">
        <f>SUMIFS(생산_실적일지!$G$4:$G$100,생산_실적일지!$D$4:$D$100,A23)</f>
        <v/>
      </c>
      <c r="I23" s="20">
        <f>E23*H23</f>
        <v/>
      </c>
      <c r="J23" s="20">
        <f>SUMIFS(재고현황_대시보드!$C$40:$C$45,재고현황_대시보드!$A$40:$A$45,A23)</f>
        <v/>
      </c>
      <c r="K23" s="20">
        <f>E23*J23</f>
        <v/>
      </c>
      <c r="L23" s="20">
        <f>INDEX(재고현황_대시보드!$I$10:$I$23,MATCH(D23,재고현황_대시보드!$B$10:$B$23,0))</f>
        <v/>
      </c>
      <c r="M23" s="20">
        <f>INDEX(재고현황_대시보드!$K$10:$K$23,MATCH(D23,재고현황_대시보드!$B$10:$B$23,0))</f>
        <v/>
      </c>
      <c r="N23" s="20">
        <f>IF(E23&gt;0,INT(L23/E23),0)</f>
        <v/>
      </c>
      <c r="O23" s="20">
        <f>IF(E23&gt;0,INT(M23/E23),0)</f>
        <v/>
      </c>
    </row>
    <row r="24">
      <c r="A24" s="5" t="inlineStr">
        <is>
          <t>FG-004</t>
        </is>
      </c>
      <c r="B24" s="6">
        <f>IFERROR(INDEX(품목_기준정보!$B$24:$B$35,MATCH(A24,품목_기준정보!$A$24:$A$35,0)),"")</f>
        <v/>
      </c>
      <c r="C24" s="5">
        <f>IFERROR(INDEX(품목_기준정보!$C$6:$C$25,MATCH(D24,품목_기준정보!$B$6:$B$25,0)),"")</f>
        <v/>
      </c>
      <c r="D24" s="6" t="inlineStr">
        <is>
          <t>칼브럭피스</t>
        </is>
      </c>
      <c r="E24" s="19" t="n">
        <v>1</v>
      </c>
      <c r="F24" s="5" t="inlineStr">
        <is>
          <t>EA</t>
        </is>
      </c>
      <c r="G24" s="6" t="inlineStr">
        <is>
          <t>벽면 고정 부속 세트</t>
        </is>
      </c>
      <c r="H24" s="20">
        <f>SUMIFS(생산_실적일지!$G$4:$G$100,생산_실적일지!$D$4:$D$100,A24)</f>
        <v/>
      </c>
      <c r="I24" s="20">
        <f>E24*H24</f>
        <v/>
      </c>
      <c r="J24" s="20">
        <f>SUMIFS(재고현황_대시보드!$C$40:$C$45,재고현황_대시보드!$A$40:$A$45,A24)</f>
        <v/>
      </c>
      <c r="K24" s="20">
        <f>E24*J24</f>
        <v/>
      </c>
      <c r="L24" s="20">
        <f>INDEX(재고현황_대시보드!$I$10:$I$23,MATCH(D24,재고현황_대시보드!$B$10:$B$23,0))</f>
        <v/>
      </c>
      <c r="M24" s="20">
        <f>INDEX(재고현황_대시보드!$K$10:$K$23,MATCH(D24,재고현황_대시보드!$B$10:$B$23,0))</f>
        <v/>
      </c>
      <c r="N24" s="20">
        <f>IF(E24&gt;0,INT(L24/E24),0)</f>
        <v/>
      </c>
      <c r="O24" s="20">
        <f>IF(E24&gt;0,INT(M24/E24),0)</f>
        <v/>
      </c>
    </row>
    <row r="25">
      <c r="A25" s="5" t="inlineStr">
        <is>
          <t>FG-005</t>
        </is>
      </c>
      <c r="B25" s="6">
        <f>IFERROR(INDEX(품목_기준정보!$B$24:$B$35,MATCH(A25,품목_기준정보!$A$24:$A$35,0)),"")</f>
        <v/>
      </c>
      <c r="C25" s="5">
        <f>IFERROR(INDEX(품목_기준정보!$C$6:$C$25,MATCH(D25,품목_기준정보!$B$6:$B$25,0)),"")</f>
        <v/>
      </c>
      <c r="D25" s="6" t="inlineStr">
        <is>
          <t>그린일자선반</t>
        </is>
      </c>
      <c r="E25" s="19" t="n">
        <v>1</v>
      </c>
      <c r="F25" s="5" t="inlineStr">
        <is>
          <t>EA</t>
        </is>
      </c>
      <c r="G25" s="6" t="inlineStr">
        <is>
          <t>본체 (그린 일자)</t>
        </is>
      </c>
      <c r="H25" s="20">
        <f>SUMIFS(생산_실적일지!$G$4:$G$100,생산_실적일지!$D$4:$D$100,A25)</f>
        <v/>
      </c>
      <c r="I25" s="20">
        <f>E25*H25</f>
        <v/>
      </c>
      <c r="J25" s="20">
        <f>SUMIFS(재고현황_대시보드!$C$40:$C$45,재고현황_대시보드!$A$40:$A$45,A25)</f>
        <v/>
      </c>
      <c r="K25" s="20">
        <f>E25*J25</f>
        <v/>
      </c>
      <c r="L25" s="20">
        <f>INDEX(재고현황_대시보드!$I$10:$I$23,MATCH(D25,재고현황_대시보드!$B$10:$B$23,0))</f>
        <v/>
      </c>
      <c r="M25" s="20">
        <f>INDEX(재고현황_대시보드!$K$10:$K$23,MATCH(D25,재고현황_대시보드!$B$10:$B$23,0))</f>
        <v/>
      </c>
      <c r="N25" s="20">
        <f>IF(E25&gt;0,INT(L25/E25),0)</f>
        <v/>
      </c>
      <c r="O25" s="20">
        <f>IF(E25&gt;0,INT(M25/E25),0)</f>
        <v/>
      </c>
    </row>
    <row r="26">
      <c r="A26" s="5" t="inlineStr">
        <is>
          <t>FG-005</t>
        </is>
      </c>
      <c r="B26" s="6">
        <f>IFERROR(INDEX(품목_기준정보!$B$24:$B$35,MATCH(A26,품목_기준정보!$A$24:$A$35,0)),"")</f>
        <v/>
      </c>
      <c r="C26" s="5">
        <f>IFERROR(INDEX(품목_기준정보!$C$6:$C$25,MATCH(D26,품목_기준정보!$B$6:$B$25,0)),"")</f>
        <v/>
      </c>
      <c r="D26" s="6" t="inlineStr">
        <is>
          <t>크롬일자선반가이드</t>
        </is>
      </c>
      <c r="E26" s="19" t="n">
        <v>2</v>
      </c>
      <c r="F26" s="5" t="inlineStr">
        <is>
          <t>EA</t>
        </is>
      </c>
      <c r="G26" s="6" t="inlineStr">
        <is>
          <t>일자선반 가이드 2개</t>
        </is>
      </c>
      <c r="H26" s="20">
        <f>SUMIFS(생산_실적일지!$G$4:$G$100,생산_실적일지!$D$4:$D$100,A26)</f>
        <v/>
      </c>
      <c r="I26" s="20">
        <f>E26*H26</f>
        <v/>
      </c>
      <c r="J26" s="20">
        <f>SUMIFS(재고현황_대시보드!$C$40:$C$45,재고현황_대시보드!$A$40:$A$45,A26)</f>
        <v/>
      </c>
      <c r="K26" s="20">
        <f>E26*J26</f>
        <v/>
      </c>
      <c r="L26" s="20">
        <f>INDEX(재고현황_대시보드!$I$10:$I$23,MATCH(D26,재고현황_대시보드!$B$10:$B$23,0))</f>
        <v/>
      </c>
      <c r="M26" s="20">
        <f>INDEX(재고현황_대시보드!$K$10:$K$23,MATCH(D26,재고현황_대시보드!$B$10:$B$23,0))</f>
        <v/>
      </c>
      <c r="N26" s="20">
        <f>IF(E26&gt;0,INT(L26/E26),0)</f>
        <v/>
      </c>
      <c r="O26" s="20">
        <f>IF(E26&gt;0,INT(M26/E26),0)</f>
        <v/>
      </c>
    </row>
    <row r="27">
      <c r="A27" s="5" t="inlineStr">
        <is>
          <t>FG-005</t>
        </is>
      </c>
      <c r="B27" s="6">
        <f>IFERROR(INDEX(품목_기준정보!$B$24:$B$35,MATCH(A27,품목_기준정보!$A$24:$A$35,0)),"")</f>
        <v/>
      </c>
      <c r="C27" s="5">
        <f>IFERROR(INDEX(품목_기준정보!$C$6:$C$25,MATCH(D27,품목_기준정보!$B$6:$B$25,0)),"")</f>
        <v/>
      </c>
      <c r="D27" s="6" t="inlineStr">
        <is>
          <t>크롬선반브라켓</t>
        </is>
      </c>
      <c r="E27" s="19" t="n">
        <v>2</v>
      </c>
      <c r="F27" s="5" t="inlineStr">
        <is>
          <t>EA</t>
        </is>
      </c>
      <c r="G27" s="6" t="inlineStr">
        <is>
          <t>선반 고정 브라켓</t>
        </is>
      </c>
      <c r="H27" s="20">
        <f>SUMIFS(생산_실적일지!$G$4:$G$100,생산_실적일지!$D$4:$D$100,A27)</f>
        <v/>
      </c>
      <c r="I27" s="20">
        <f>E27*H27</f>
        <v/>
      </c>
      <c r="J27" s="20">
        <f>SUMIFS(재고현황_대시보드!$C$40:$C$45,재고현황_대시보드!$A$40:$A$45,A27)</f>
        <v/>
      </c>
      <c r="K27" s="20">
        <f>E27*J27</f>
        <v/>
      </c>
      <c r="L27" s="20">
        <f>INDEX(재고현황_대시보드!$I$10:$I$23,MATCH(D27,재고현황_대시보드!$B$10:$B$23,0))</f>
        <v/>
      </c>
      <c r="M27" s="20">
        <f>INDEX(재고현황_대시보드!$K$10:$K$23,MATCH(D27,재고현황_대시보드!$B$10:$B$23,0))</f>
        <v/>
      </c>
      <c r="N27" s="20">
        <f>IF(E27&gt;0,INT(L27/E27),0)</f>
        <v/>
      </c>
      <c r="O27" s="20">
        <f>IF(E27&gt;0,INT(M27/E27),0)</f>
        <v/>
      </c>
    </row>
    <row r="28">
      <c r="A28" s="5" t="inlineStr">
        <is>
          <t>FG-005</t>
        </is>
      </c>
      <c r="B28" s="6">
        <f>IFERROR(INDEX(품목_기준정보!$B$24:$B$35,MATCH(A28,품목_기준정보!$A$24:$A$35,0)),"")</f>
        <v/>
      </c>
      <c r="C28" s="5">
        <f>IFERROR(INDEX(품목_기준정보!$C$6:$C$25,MATCH(D28,품목_기준정보!$B$6:$B$25,0)),"")</f>
        <v/>
      </c>
      <c r="D28" s="6" t="inlineStr">
        <is>
          <t>비닐</t>
        </is>
      </c>
      <c r="E28" s="19" t="n">
        <v>1</v>
      </c>
      <c r="F28" s="5" t="inlineStr">
        <is>
          <t>EA</t>
        </is>
      </c>
      <c r="G28" s="6" t="inlineStr">
        <is>
          <t>개별 포장용 비닐</t>
        </is>
      </c>
      <c r="H28" s="20">
        <f>SUMIFS(생산_실적일지!$G$4:$G$100,생산_실적일지!$D$4:$D$100,A28)</f>
        <v/>
      </c>
      <c r="I28" s="20">
        <f>E28*H28</f>
        <v/>
      </c>
      <c r="J28" s="20">
        <f>SUMIFS(재고현황_대시보드!$C$40:$C$45,재고현황_대시보드!$A$40:$A$45,A28)</f>
        <v/>
      </c>
      <c r="K28" s="20">
        <f>E28*J28</f>
        <v/>
      </c>
      <c r="L28" s="20">
        <f>INDEX(재고현황_대시보드!$I$10:$I$23,MATCH(D28,재고현황_대시보드!$B$10:$B$23,0))</f>
        <v/>
      </c>
      <c r="M28" s="20">
        <f>INDEX(재고현황_대시보드!$K$10:$K$23,MATCH(D28,재고현황_대시보드!$B$10:$B$23,0))</f>
        <v/>
      </c>
      <c r="N28" s="20">
        <f>IF(E28&gt;0,INT(L28/E28),0)</f>
        <v/>
      </c>
      <c r="O28" s="20">
        <f>IF(E28&gt;0,INT(M28/E28),0)</f>
        <v/>
      </c>
    </row>
    <row r="29">
      <c r="A29" s="5" t="inlineStr">
        <is>
          <t>FG-005</t>
        </is>
      </c>
      <c r="B29" s="6">
        <f>IFERROR(INDEX(품목_기준정보!$B$24:$B$35,MATCH(A29,품목_기준정보!$A$24:$A$35,0)),"")</f>
        <v/>
      </c>
      <c r="C29" s="5">
        <f>IFERROR(INDEX(품목_기준정보!$C$6:$C$25,MATCH(D29,품목_기준정보!$B$6:$B$25,0)),"")</f>
        <v/>
      </c>
      <c r="D29" s="6" t="inlineStr">
        <is>
          <t>칼브럭피스</t>
        </is>
      </c>
      <c r="E29" s="19" t="n">
        <v>1</v>
      </c>
      <c r="F29" s="5" t="inlineStr">
        <is>
          <t>EA</t>
        </is>
      </c>
      <c r="G29" s="6" t="inlineStr">
        <is>
          <t>벽면 고정 부속 세트</t>
        </is>
      </c>
      <c r="H29" s="20">
        <f>SUMIFS(생산_실적일지!$G$4:$G$100,생산_실적일지!$D$4:$D$100,A29)</f>
        <v/>
      </c>
      <c r="I29" s="20">
        <f>E29*H29</f>
        <v/>
      </c>
      <c r="J29" s="20">
        <f>SUMIFS(재고현황_대시보드!$C$40:$C$45,재고현황_대시보드!$A$40:$A$45,A29)</f>
        <v/>
      </c>
      <c r="K29" s="20">
        <f>E29*J29</f>
        <v/>
      </c>
      <c r="L29" s="20">
        <f>INDEX(재고현황_대시보드!$I$10:$I$23,MATCH(D29,재고현황_대시보드!$B$10:$B$23,0))</f>
        <v/>
      </c>
      <c r="M29" s="20">
        <f>INDEX(재고현황_대시보드!$K$10:$K$23,MATCH(D29,재고현황_대시보드!$B$10:$B$23,0))</f>
        <v/>
      </c>
      <c r="N29" s="20">
        <f>IF(E29&gt;0,INT(L29/E29),0)</f>
        <v/>
      </c>
      <c r="O29" s="20">
        <f>IF(E29&gt;0,INT(M29/E29),0)</f>
        <v/>
      </c>
    </row>
    <row r="30">
      <c r="A30" s="5" t="inlineStr">
        <is>
          <t>FG-006</t>
        </is>
      </c>
      <c r="B30" s="6">
        <f>IFERROR(INDEX(품목_기준정보!$B$24:$B$35,MATCH(A30,품목_기준정보!$A$24:$A$35,0)),"")</f>
        <v/>
      </c>
      <c r="C30" s="5">
        <f>IFERROR(INDEX(품목_기준정보!$C$6:$C$25,MATCH(D30,품목_기준정보!$B$6:$B$25,0)),"")</f>
        <v/>
      </c>
      <c r="D30" s="6" t="inlineStr">
        <is>
          <t>그린오각선반</t>
        </is>
      </c>
      <c r="E30" s="19" t="n">
        <v>1</v>
      </c>
      <c r="F30" s="5" t="inlineStr">
        <is>
          <t>EA</t>
        </is>
      </c>
      <c r="G30" s="6" t="inlineStr">
        <is>
          <t>본체 (그린 오각)</t>
        </is>
      </c>
      <c r="H30" s="20">
        <f>SUMIFS(생산_실적일지!$G$4:$G$100,생산_실적일지!$D$4:$D$100,A30)</f>
        <v/>
      </c>
      <c r="I30" s="20">
        <f>E30*H30</f>
        <v/>
      </c>
      <c r="J30" s="20">
        <f>SUMIFS(재고현황_대시보드!$C$40:$C$45,재고현황_대시보드!$A$40:$A$45,A30)</f>
        <v/>
      </c>
      <c r="K30" s="20">
        <f>E30*J30</f>
        <v/>
      </c>
      <c r="L30" s="20">
        <f>INDEX(재고현황_대시보드!$I$10:$I$23,MATCH(D30,재고현황_대시보드!$B$10:$B$23,0))</f>
        <v/>
      </c>
      <c r="M30" s="20">
        <f>INDEX(재고현황_대시보드!$K$10:$K$23,MATCH(D30,재고현황_대시보드!$B$10:$B$23,0))</f>
        <v/>
      </c>
      <c r="N30" s="20">
        <f>IF(E30&gt;0,INT(L30/E30),0)</f>
        <v/>
      </c>
      <c r="O30" s="20">
        <f>IF(E30&gt;0,INT(M30/E30),0)</f>
        <v/>
      </c>
    </row>
    <row r="31">
      <c r="A31" s="5" t="inlineStr">
        <is>
          <t>FG-006</t>
        </is>
      </c>
      <c r="B31" s="6">
        <f>IFERROR(INDEX(품목_기준정보!$B$24:$B$35,MATCH(A31,품목_기준정보!$A$24:$A$35,0)),"")</f>
        <v/>
      </c>
      <c r="C31" s="5">
        <f>IFERROR(INDEX(품목_기준정보!$C$6:$C$25,MATCH(D31,품목_기준정보!$B$6:$B$25,0)),"")</f>
        <v/>
      </c>
      <c r="D31" s="6" t="inlineStr">
        <is>
          <t>크롬일자선반가이드</t>
        </is>
      </c>
      <c r="E31" s="19" t="n">
        <v>1</v>
      </c>
      <c r="F31" s="5" t="inlineStr">
        <is>
          <t>EA</t>
        </is>
      </c>
      <c r="G31" s="6" t="inlineStr">
        <is>
          <t>오각선반 가이드 1개</t>
        </is>
      </c>
      <c r="H31" s="20">
        <f>SUMIFS(생산_실적일지!$G$4:$G$100,생산_실적일지!$D$4:$D$100,A31)</f>
        <v/>
      </c>
      <c r="I31" s="20">
        <f>E31*H31</f>
        <v/>
      </c>
      <c r="J31" s="20">
        <f>SUMIFS(재고현황_대시보드!$C$40:$C$45,재고현황_대시보드!$A$40:$A$45,A31)</f>
        <v/>
      </c>
      <c r="K31" s="20">
        <f>E31*J31</f>
        <v/>
      </c>
      <c r="L31" s="20">
        <f>INDEX(재고현황_대시보드!$I$10:$I$23,MATCH(D31,재고현황_대시보드!$B$10:$B$23,0))</f>
        <v/>
      </c>
      <c r="M31" s="20">
        <f>INDEX(재고현황_대시보드!$K$10:$K$23,MATCH(D31,재고현황_대시보드!$B$10:$B$23,0))</f>
        <v/>
      </c>
      <c r="N31" s="20">
        <f>IF(E31&gt;0,INT(L31/E31),0)</f>
        <v/>
      </c>
      <c r="O31" s="20">
        <f>IF(E31&gt;0,INT(M31/E31),0)</f>
        <v/>
      </c>
    </row>
    <row r="32">
      <c r="A32" s="5" t="inlineStr">
        <is>
          <t>FG-006</t>
        </is>
      </c>
      <c r="B32" s="6">
        <f>IFERROR(INDEX(품목_기준정보!$B$24:$B$35,MATCH(A32,품목_기준정보!$A$24:$A$35,0)),"")</f>
        <v/>
      </c>
      <c r="C32" s="5">
        <f>IFERROR(INDEX(품목_기준정보!$C$6:$C$25,MATCH(D32,품목_기준정보!$B$6:$B$25,0)),"")</f>
        <v/>
      </c>
      <c r="D32" s="6" t="inlineStr">
        <is>
          <t>크롬선반브라켓</t>
        </is>
      </c>
      <c r="E32" s="19" t="n">
        <v>2</v>
      </c>
      <c r="F32" s="5" t="inlineStr">
        <is>
          <t>EA</t>
        </is>
      </c>
      <c r="G32" s="6" t="inlineStr">
        <is>
          <t>선반 고정 브라켓</t>
        </is>
      </c>
      <c r="H32" s="20">
        <f>SUMIFS(생산_실적일지!$G$4:$G$100,생산_실적일지!$D$4:$D$100,A32)</f>
        <v/>
      </c>
      <c r="I32" s="20">
        <f>E32*H32</f>
        <v/>
      </c>
      <c r="J32" s="20">
        <f>SUMIFS(재고현황_대시보드!$C$40:$C$45,재고현황_대시보드!$A$40:$A$45,A32)</f>
        <v/>
      </c>
      <c r="K32" s="20">
        <f>E32*J32</f>
        <v/>
      </c>
      <c r="L32" s="20">
        <f>INDEX(재고현황_대시보드!$I$10:$I$23,MATCH(D32,재고현황_대시보드!$B$10:$B$23,0))</f>
        <v/>
      </c>
      <c r="M32" s="20">
        <f>INDEX(재고현황_대시보드!$K$10:$K$23,MATCH(D32,재고현황_대시보드!$B$10:$B$23,0))</f>
        <v/>
      </c>
      <c r="N32" s="20">
        <f>IF(E32&gt;0,INT(L32/E32),0)</f>
        <v/>
      </c>
      <c r="O32" s="20">
        <f>IF(E32&gt;0,INT(M32/E32),0)</f>
        <v/>
      </c>
    </row>
    <row r="33">
      <c r="A33" s="5" t="inlineStr">
        <is>
          <t>FG-006</t>
        </is>
      </c>
      <c r="B33" s="6">
        <f>IFERROR(INDEX(품목_기준정보!$B$24:$B$35,MATCH(A33,품목_기준정보!$A$24:$A$35,0)),"")</f>
        <v/>
      </c>
      <c r="C33" s="5">
        <f>IFERROR(INDEX(품목_기준정보!$C$6:$C$25,MATCH(D33,품목_기준정보!$B$6:$B$25,0)),"")</f>
        <v/>
      </c>
      <c r="D33" s="6" t="inlineStr">
        <is>
          <t>비닐</t>
        </is>
      </c>
      <c r="E33" s="19" t="n">
        <v>1</v>
      </c>
      <c r="F33" s="5" t="inlineStr">
        <is>
          <t>EA</t>
        </is>
      </c>
      <c r="G33" s="6" t="inlineStr">
        <is>
          <t>개별 포장용 비닐</t>
        </is>
      </c>
      <c r="H33" s="20">
        <f>SUMIFS(생산_실적일지!$G$4:$G$100,생산_실적일지!$D$4:$D$100,A33)</f>
        <v/>
      </c>
      <c r="I33" s="20">
        <f>E33*H33</f>
        <v/>
      </c>
      <c r="J33" s="20">
        <f>SUMIFS(재고현황_대시보드!$C$40:$C$45,재고현황_대시보드!$A$40:$A$45,A33)</f>
        <v/>
      </c>
      <c r="K33" s="20">
        <f>E33*J33</f>
        <v/>
      </c>
      <c r="L33" s="20">
        <f>INDEX(재고현황_대시보드!$I$10:$I$23,MATCH(D33,재고현황_대시보드!$B$10:$B$23,0))</f>
        <v/>
      </c>
      <c r="M33" s="20">
        <f>INDEX(재고현황_대시보드!$K$10:$K$23,MATCH(D33,재고현황_대시보드!$B$10:$B$23,0))</f>
        <v/>
      </c>
      <c r="N33" s="20">
        <f>IF(E33&gt;0,INT(L33/E33),0)</f>
        <v/>
      </c>
      <c r="O33" s="20">
        <f>IF(E33&gt;0,INT(M33/E33),0)</f>
        <v/>
      </c>
    </row>
    <row r="34">
      <c r="A34" s="5" t="inlineStr">
        <is>
          <t>FG-006</t>
        </is>
      </c>
      <c r="B34" s="6">
        <f>IFERROR(INDEX(품목_기준정보!$B$24:$B$35,MATCH(A34,품목_기준정보!$A$24:$A$35,0)),"")</f>
        <v/>
      </c>
      <c r="C34" s="5">
        <f>IFERROR(INDEX(품목_기준정보!$C$6:$C$25,MATCH(D34,품목_기준정보!$B$6:$B$25,0)),"")</f>
        <v/>
      </c>
      <c r="D34" s="6" t="inlineStr">
        <is>
          <t>칼브럭피스</t>
        </is>
      </c>
      <c r="E34" s="19" t="n">
        <v>1</v>
      </c>
      <c r="F34" s="5" t="inlineStr">
        <is>
          <t>EA</t>
        </is>
      </c>
      <c r="G34" s="6" t="inlineStr">
        <is>
          <t>벽면 고정 부속 세트</t>
        </is>
      </c>
      <c r="H34" s="20">
        <f>SUMIFS(생산_실적일지!$G$4:$G$100,생산_실적일지!$D$4:$D$100,A34)</f>
        <v/>
      </c>
      <c r="I34" s="20">
        <f>E34*H34</f>
        <v/>
      </c>
      <c r="J34" s="20">
        <f>SUMIFS(재고현황_대시보드!$C$40:$C$45,재고현황_대시보드!$A$40:$A$45,A34)</f>
        <v/>
      </c>
      <c r="K34" s="20">
        <f>E34*J34</f>
        <v/>
      </c>
      <c r="L34" s="20">
        <f>INDEX(재고현황_대시보드!$I$10:$I$23,MATCH(D34,재고현황_대시보드!$B$10:$B$23,0))</f>
        <v/>
      </c>
      <c r="M34" s="20">
        <f>INDEX(재고현황_대시보드!$K$10:$K$23,MATCH(D34,재고현황_대시보드!$B$10:$B$23,0))</f>
        <v/>
      </c>
      <c r="N34" s="20">
        <f>IF(E34&gt;0,INT(L34/E34),0)</f>
        <v/>
      </c>
      <c r="O34" s="20">
        <f>IF(E34&gt;0,INT(M34/E34),0)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ColWidth="9" defaultRowHeight="16.5"/>
  <cols>
    <col width="13" customWidth="1" min="1" max="1"/>
    <col width="14" customWidth="1" min="2" max="2"/>
    <col width="12" customWidth="1" min="3" max="3"/>
    <col width="13" customWidth="1" min="4" max="4"/>
    <col width="18" customWidth="1" min="5" max="5"/>
    <col width="15" customWidth="1" min="6" max="6"/>
    <col width="13" customWidth="1" min="7" max="10"/>
    <col width="15" customWidth="1" min="11" max="11"/>
    <col width="25" customWidth="1" min="12" max="12"/>
  </cols>
  <sheetData>
    <row r="1" ht="24" customHeight="1">
      <c r="A1" s="2" t="inlineStr">
        <is>
          <t>완제품 일일 생산 실적 일지</t>
        </is>
      </c>
    </row>
    <row r="2">
      <c r="A2" s="3" t="inlineStr">
        <is>
          <t>※ 사용자는 노란색 셀(일자, 전표, 라인, 코드, 생산/양품/불량수량, 작업자)만 입력합니다. 완제품명은 코드 기준 자동 표시됩니다.</t>
        </is>
      </c>
    </row>
    <row r="3" ht="17.25" customHeight="1">
      <c r="A3" s="9" t="inlineStr">
        <is>
          <t>일자</t>
        </is>
      </c>
      <c r="B3" s="9" t="inlineStr">
        <is>
          <t>생산전표번호</t>
        </is>
      </c>
      <c r="C3" s="9" t="inlineStr">
        <is>
          <t>생산라인</t>
        </is>
      </c>
      <c r="D3" s="9" t="inlineStr">
        <is>
          <t>완제품코드</t>
        </is>
      </c>
      <c r="E3" s="9" t="inlineStr">
        <is>
          <t>완제품명</t>
        </is>
      </c>
      <c r="F3" s="9" t="inlineStr">
        <is>
          <t>규격/구분</t>
        </is>
      </c>
      <c r="G3" s="9" t="inlineStr">
        <is>
          <t>생산수량(EA)</t>
        </is>
      </c>
      <c r="H3" s="9" t="inlineStr">
        <is>
          <t>양품수량(EA)</t>
        </is>
      </c>
      <c r="I3" s="9" t="inlineStr">
        <is>
          <t>불량수량(EA)</t>
        </is>
      </c>
      <c r="J3" s="9" t="inlineStr">
        <is>
          <t>작업자/책임자</t>
        </is>
      </c>
      <c r="K3" s="9" t="inlineStr">
        <is>
          <t>검증상태</t>
        </is>
      </c>
      <c r="L3" s="9" t="inlineStr">
        <is>
          <t>비고</t>
        </is>
      </c>
    </row>
    <row r="4">
      <c r="A4" s="16" t="inlineStr">
        <is>
          <t>2026-09-17</t>
        </is>
      </c>
      <c r="B4" s="16" t="inlineStr">
        <is>
          <t>PRD-2609-01</t>
        </is>
      </c>
      <c r="C4" s="16" t="inlineStr">
        <is>
          <t>조립 1라인</t>
        </is>
      </c>
      <c r="D4" s="16" t="inlineStr">
        <is>
          <t>FG-001</t>
        </is>
      </c>
      <c r="E4" s="21">
        <f>IF(D4="","",IFERROR(INDEX(품목_기준정보!$B$24:$B$35,MATCH(D4,품목_기준정보!$A$24:$A$35,0)),"미등록 완제품"))</f>
        <v/>
      </c>
      <c r="F4" s="21">
        <f>IF(D4="","",IFERROR(INDEX(품목_기준정보!$C$24:$C$35,MATCH(D4,품목_기준정보!$A$24:$A$35,0)),""))</f>
        <v/>
      </c>
      <c r="G4" s="19" t="n">
        <v>300</v>
      </c>
      <c r="H4" s="19" t="n">
        <v>300</v>
      </c>
      <c r="I4" s="19" t="n">
        <v>0</v>
      </c>
      <c r="J4" s="16" t="inlineStr">
        <is>
          <t>박조립</t>
        </is>
      </c>
      <c r="K4" s="17">
        <f>IF(D4="","",IF(OR(G4&lt;0,H4&lt;0,I4&lt;0),"음수 오류",IF(G4&lt;&gt;(H4+I4),"수량불일치 오류",IF(COUNTIF($B$4:$B$100,B4)&gt;1,"중복 전표",IF(ISNA(MATCH(D4,품목_기준정보!$A$24:$A$35,0)),"미등록 완제품","정상")))))</f>
        <v/>
      </c>
      <c r="L4" s="18" t="inlineStr">
        <is>
          <t>초도 양산 로트 완료</t>
        </is>
      </c>
    </row>
    <row r="5">
      <c r="A5" s="16" t="inlineStr">
        <is>
          <t>2026-09-18</t>
        </is>
      </c>
      <c r="B5" s="16" t="inlineStr">
        <is>
          <t>PRD-2609-02</t>
        </is>
      </c>
      <c r="C5" s="16" t="inlineStr">
        <is>
          <t>조립 2라인</t>
        </is>
      </c>
      <c r="D5" s="16" t="inlineStr">
        <is>
          <t>FG-004</t>
        </is>
      </c>
      <c r="E5" s="21">
        <f>IF(D5="","",IFERROR(INDEX(품목_기준정보!$B$24:$B$35,MATCH(D5,품목_기준정보!$A$24:$A$35,0)),"미등록 완제품"))</f>
        <v/>
      </c>
      <c r="F5" s="21">
        <f>IF(D5="","",IFERROR(INDEX(품목_기준정보!$C$24:$C$35,MATCH(D5,품목_기준정보!$A$24:$A$35,0)),""))</f>
        <v/>
      </c>
      <c r="G5" s="19" t="n">
        <v>500</v>
      </c>
      <c r="H5" s="19" t="n">
        <v>500</v>
      </c>
      <c r="I5" s="19" t="n">
        <v>0</v>
      </c>
      <c r="J5" s="16" t="inlineStr">
        <is>
          <t>이조립</t>
        </is>
      </c>
      <c r="K5" s="17">
        <f>IF(D5="","",IF(OR(G5&lt;0,H5&lt;0,I5&lt;0),"음수 오류",IF(G5&lt;&gt;(H5+I5),"수량불일치 오류",IF(COUNTIF($B$4:$B$100,B5)&gt;1,"중복 전표",IF(ISNA(MATCH(D5,품목_기준정보!$A$24:$A$35,0)),"미등록 완제품","정상")))))</f>
        <v/>
      </c>
      <c r="L5" s="18" t="inlineStr">
        <is>
          <t>주간 정규 생산 물량</t>
        </is>
      </c>
    </row>
    <row r="6">
      <c r="A6" s="16" t="inlineStr">
        <is>
          <t>2026-09-18</t>
        </is>
      </c>
      <c r="B6" s="16" t="inlineStr">
        <is>
          <t>PRD-2609-03</t>
        </is>
      </c>
      <c r="C6" s="16" t="inlineStr">
        <is>
          <t>조립 1라인</t>
        </is>
      </c>
      <c r="D6" s="16" t="inlineStr">
        <is>
          <t>FG-003</t>
        </is>
      </c>
      <c r="E6" s="21">
        <f>IF(D6="","",IFERROR(INDEX(품목_기준정보!$B$24:$B$35,MATCH(D6,품목_기준정보!$A$24:$A$35,0)),"미등록 완제품"))</f>
        <v/>
      </c>
      <c r="F6" s="21">
        <f>IF(D6="","",IFERROR(INDEX(품목_기준정보!$C$24:$C$35,MATCH(D6,품목_기준정보!$A$24:$A$35,0)),""))</f>
        <v/>
      </c>
      <c r="G6" s="19" t="n">
        <v>100</v>
      </c>
      <c r="H6" s="19" t="n">
        <v>100</v>
      </c>
      <c r="I6" s="19" t="n">
        <v>0</v>
      </c>
      <c r="J6" s="16" t="inlineStr">
        <is>
          <t>김조립</t>
        </is>
      </c>
      <c r="K6" s="17">
        <f>IF(D6="","",IF(OR(G6&lt;0,H6&lt;0,I6&lt;0),"음수 오류",IF(G6&lt;&gt;(H6+I6),"수량불일치 오류",IF(COUNTIF($B$4:$B$100,B6)&gt;1,"중복 전표",IF(ISNA(MATCH(D6,품목_기준정보!$A$24:$A$35,0)),"미등록 완제품","정상")))))</f>
        <v/>
      </c>
      <c r="L6" s="18" t="inlineStr">
        <is>
          <t>긴급 발주건 조립 완료</t>
        </is>
      </c>
    </row>
    <row r="7">
      <c r="A7" s="5" t="inlineStr">
        <is>
          <t>2026-09-19</t>
        </is>
      </c>
      <c r="B7" s="5" t="inlineStr">
        <is>
          <t>SIM-PRD-001</t>
        </is>
      </c>
      <c r="C7" s="5" t="inlineStr">
        <is>
          <t>라인A</t>
        </is>
      </c>
      <c r="D7" s="5" t="inlineStr">
        <is>
          <t>FG-002</t>
        </is>
      </c>
      <c r="E7" s="21">
        <f>IF(D7="","",IFERROR(INDEX(품목_기준정보!$B$24:$B$35,MATCH(D7,품목_기준정보!$A$24:$A$35,0)),"미등록 완제품"))</f>
        <v/>
      </c>
      <c r="F7" s="21">
        <f>IF(D7="","",IFERROR(INDEX(품목_기준정보!$C$24:$C$35,MATCH(D7,품목_기준정보!$A$24:$A$35,0)),""))</f>
        <v/>
      </c>
      <c r="G7" s="7" t="n">
        <v>20</v>
      </c>
      <c r="H7" s="7" t="n">
        <v>20</v>
      </c>
      <c r="I7" s="7" t="n">
        <v>0</v>
      </c>
      <c r="J7" s="5" t="inlineStr">
        <is>
          <t>시뮬</t>
        </is>
      </c>
      <c r="K7" s="17">
        <f>IF(D7="","",IF(OR(G7&lt;0,H7&lt;0,I7&lt;0),"음수 오류",IF(G7&lt;&gt;(H7+I7),"수량불일치 오류",IF(COUNTIF($B$4:$B$100,B7)&gt;1,"중복 전표",IF(ISNA(MATCH(D7,품목_기준정보!$A$24:$A$35,0)),"미등록 완제품","정상")))))</f>
        <v/>
      </c>
      <c r="L7" s="6" t="inlineStr">
        <is>
          <t>생산시뮬</t>
        </is>
      </c>
    </row>
    <row r="8">
      <c r="A8" s="5" t="n"/>
      <c r="B8" s="5" t="n"/>
      <c r="C8" s="5" t="n"/>
      <c r="D8" s="5" t="n"/>
      <c r="E8" s="21">
        <f>IF(D8="","",IFERROR(INDEX(품목_기준정보!$B$24:$B$35,MATCH(D8,품목_기준정보!$A$24:$A$35,0)),"미등록 완제품"))</f>
        <v/>
      </c>
      <c r="F8" s="21">
        <f>IF(D8="","",IFERROR(INDEX(품목_기준정보!$C$24:$C$35,MATCH(D8,품목_기준정보!$A$24:$A$35,0)),""))</f>
        <v/>
      </c>
      <c r="G8" s="7" t="n"/>
      <c r="H8" s="7" t="n"/>
      <c r="I8" s="7" t="n"/>
      <c r="J8" s="5" t="n"/>
      <c r="K8" s="17">
        <f>IF(D8="","",IF(OR(G8&lt;0,H8&lt;0,I8&lt;0),"음수 오류",IF(G8&lt;&gt;(H8+I8),"수량불일치 오류",IF(COUNTIF($B$4:$B$100,B8)&gt;1,"중복 전표",IF(ISNA(MATCH(D8,품목_기준정보!$A$24:$A$35,0)),"미등록 완제품","정상")))))</f>
        <v/>
      </c>
      <c r="L8" s="6" t="n"/>
    </row>
    <row r="9">
      <c r="A9" s="5" t="n"/>
      <c r="B9" s="5" t="n"/>
      <c r="C9" s="5" t="n"/>
      <c r="D9" s="5" t="n"/>
      <c r="E9" s="21">
        <f>IF(D9="","",IFERROR(INDEX(품목_기준정보!$B$24:$B$35,MATCH(D9,품목_기준정보!$A$24:$A$35,0)),"미등록 완제품"))</f>
        <v/>
      </c>
      <c r="F9" s="21">
        <f>IF(D9="","",IFERROR(INDEX(품목_기준정보!$C$24:$C$35,MATCH(D9,품목_기준정보!$A$24:$A$35,0)),""))</f>
        <v/>
      </c>
      <c r="G9" s="7" t="n"/>
      <c r="H9" s="7" t="n"/>
      <c r="I9" s="7" t="n"/>
      <c r="J9" s="5" t="n"/>
      <c r="K9" s="17">
        <f>IF(D9="","",IF(OR(G9&lt;0,H9&lt;0,I9&lt;0),"음수 오류",IF(G9&lt;&gt;(H9+I9),"수량불일치 오류",IF(COUNTIF($B$4:$B$100,B9)&gt;1,"중복 전표",IF(ISNA(MATCH(D9,품목_기준정보!$A$24:$A$35,0)),"미등록 완제품","정상")))))</f>
        <v/>
      </c>
      <c r="L9" s="6" t="n"/>
    </row>
    <row r="10">
      <c r="A10" s="5" t="n"/>
      <c r="B10" s="5" t="n"/>
      <c r="C10" s="5" t="n"/>
      <c r="D10" s="5" t="n"/>
      <c r="E10" s="21">
        <f>IF(D10="","",IFERROR(INDEX(품목_기준정보!$B$24:$B$35,MATCH(D10,품목_기준정보!$A$24:$A$35,0)),"미등록 완제품"))</f>
        <v/>
      </c>
      <c r="F10" s="21">
        <f>IF(D10="","",IFERROR(INDEX(품목_기준정보!$C$24:$C$35,MATCH(D10,품목_기준정보!$A$24:$A$35,0)),""))</f>
        <v/>
      </c>
      <c r="G10" s="7" t="n"/>
      <c r="H10" s="7" t="n"/>
      <c r="I10" s="7" t="n"/>
      <c r="J10" s="5" t="n"/>
      <c r="K10" s="17">
        <f>IF(D10="","",IF(OR(G10&lt;0,H10&lt;0,I10&lt;0),"음수 오류",IF(G10&lt;&gt;(H10+I10),"수량불일치 오류",IF(COUNTIF($B$4:$B$100,B10)&gt;1,"중복 전표",IF(ISNA(MATCH(D10,품목_기준정보!$A$24:$A$35,0)),"미등록 완제품","정상")))))</f>
        <v/>
      </c>
      <c r="L10" s="6" t="n"/>
    </row>
    <row r="11">
      <c r="A11" s="5" t="n"/>
      <c r="B11" s="5" t="n"/>
      <c r="C11" s="5" t="n"/>
      <c r="D11" s="5" t="n"/>
      <c r="E11" s="21">
        <f>IF(D11="","",IFERROR(INDEX(품목_기준정보!$B$24:$B$35,MATCH(D11,품목_기준정보!$A$24:$A$35,0)),"미등록 완제품"))</f>
        <v/>
      </c>
      <c r="F11" s="21">
        <f>IF(D11="","",IFERROR(INDEX(품목_기준정보!$C$24:$C$35,MATCH(D11,품목_기준정보!$A$24:$A$35,0)),""))</f>
        <v/>
      </c>
      <c r="G11" s="7" t="n"/>
      <c r="H11" s="7" t="n"/>
      <c r="I11" s="7" t="n"/>
      <c r="J11" s="5" t="n"/>
      <c r="K11" s="17">
        <f>IF(D11="","",IF(OR(G11&lt;0,H11&lt;0,I11&lt;0),"음수 오류",IF(G11&lt;&gt;(H11+I11),"수량불일치 오류",IF(COUNTIF($B$4:$B$100,B11)&gt;1,"중복 전표",IF(ISNA(MATCH(D11,품목_기준정보!$A$24:$A$35,0)),"미등록 완제품","정상")))))</f>
        <v/>
      </c>
      <c r="L11" s="6" t="n"/>
    </row>
    <row r="12">
      <c r="A12" s="5" t="n"/>
      <c r="B12" s="5" t="n"/>
      <c r="C12" s="5" t="n"/>
      <c r="D12" s="5" t="n"/>
      <c r="E12" s="21">
        <f>IF(D12="","",IFERROR(INDEX(품목_기준정보!$B$24:$B$35,MATCH(D12,품목_기준정보!$A$24:$A$35,0)),"미등록 완제품"))</f>
        <v/>
      </c>
      <c r="F12" s="21">
        <f>IF(D12="","",IFERROR(INDEX(품목_기준정보!$C$24:$C$35,MATCH(D12,품목_기준정보!$A$24:$A$35,0)),""))</f>
        <v/>
      </c>
      <c r="G12" s="7" t="n"/>
      <c r="H12" s="7" t="n"/>
      <c r="I12" s="7" t="n"/>
      <c r="J12" s="5" t="n"/>
      <c r="K12" s="17">
        <f>IF(D12="","",IF(OR(G12&lt;0,H12&lt;0,I12&lt;0),"음수 오류",IF(G12&lt;&gt;(H12+I12),"수량불일치 오류",IF(COUNTIF($B$4:$B$100,B12)&gt;1,"중복 전표",IF(ISNA(MATCH(D12,품목_기준정보!$A$24:$A$35,0)),"미등록 완제품","정상")))))</f>
        <v/>
      </c>
      <c r="L12" s="6" t="n"/>
    </row>
    <row r="13">
      <c r="A13" s="5" t="n"/>
      <c r="B13" s="5" t="n"/>
      <c r="C13" s="5" t="n"/>
      <c r="D13" s="5" t="n"/>
      <c r="E13" s="21">
        <f>IF(D13="","",IFERROR(INDEX(품목_기준정보!$B$24:$B$35,MATCH(D13,품목_기준정보!$A$24:$A$35,0)),"미등록 완제품"))</f>
        <v/>
      </c>
      <c r="F13" s="21">
        <f>IF(D13="","",IFERROR(INDEX(품목_기준정보!$C$24:$C$35,MATCH(D13,품목_기준정보!$A$24:$A$35,0)),""))</f>
        <v/>
      </c>
      <c r="G13" s="7" t="n"/>
      <c r="H13" s="7" t="n"/>
      <c r="I13" s="7" t="n"/>
      <c r="J13" s="5" t="n"/>
      <c r="K13" s="17">
        <f>IF(D13="","",IF(OR(G13&lt;0,H13&lt;0,I13&lt;0),"음수 오류",IF(G13&lt;&gt;(H13+I13),"수량불일치 오류",IF(COUNTIF($B$4:$B$100,B13)&gt;1,"중복 전표",IF(ISNA(MATCH(D13,품목_기준정보!$A$24:$A$35,0)),"미등록 완제품","정상")))))</f>
        <v/>
      </c>
      <c r="L13" s="6" t="n"/>
    </row>
    <row r="14">
      <c r="A14" s="5" t="n"/>
      <c r="B14" s="5" t="n"/>
      <c r="C14" s="5" t="n"/>
      <c r="D14" s="5" t="n"/>
      <c r="E14" s="21">
        <f>IF(D14="","",IFERROR(INDEX(품목_기준정보!$B$24:$B$35,MATCH(D14,품목_기준정보!$A$24:$A$35,0)),"미등록 완제품"))</f>
        <v/>
      </c>
      <c r="F14" s="21">
        <f>IF(D14="","",IFERROR(INDEX(품목_기준정보!$C$24:$C$35,MATCH(D14,품목_기준정보!$A$24:$A$35,0)),""))</f>
        <v/>
      </c>
      <c r="G14" s="7" t="n"/>
      <c r="H14" s="7" t="n"/>
      <c r="I14" s="7" t="n"/>
      <c r="J14" s="5" t="n"/>
      <c r="K14" s="17">
        <f>IF(D14="","",IF(OR(G14&lt;0,H14&lt;0,I14&lt;0),"음수 오류",IF(G14&lt;&gt;(H14+I14),"수량불일치 오류",IF(COUNTIF($B$4:$B$100,B14)&gt;1,"중복 전표",IF(ISNA(MATCH(D14,품목_기준정보!$A$24:$A$35,0)),"미등록 완제품","정상")))))</f>
        <v/>
      </c>
      <c r="L14" s="6" t="n"/>
    </row>
    <row r="15">
      <c r="A15" s="5" t="n"/>
      <c r="B15" s="5" t="n"/>
      <c r="C15" s="5" t="n"/>
      <c r="D15" s="5" t="n"/>
      <c r="E15" s="21">
        <f>IF(D15="","",IFERROR(INDEX(품목_기준정보!$B$24:$B$35,MATCH(D15,품목_기준정보!$A$24:$A$35,0)),"미등록 완제품"))</f>
        <v/>
      </c>
      <c r="F15" s="21">
        <f>IF(D15="","",IFERROR(INDEX(품목_기준정보!$C$24:$C$35,MATCH(D15,품목_기준정보!$A$24:$A$35,0)),""))</f>
        <v/>
      </c>
      <c r="G15" s="7" t="n"/>
      <c r="H15" s="7" t="n"/>
      <c r="I15" s="7" t="n"/>
      <c r="J15" s="5" t="n"/>
      <c r="K15" s="17">
        <f>IF(D15="","",IF(OR(G15&lt;0,H15&lt;0,I15&lt;0),"음수 오류",IF(G15&lt;&gt;(H15+I15),"수량불일치 오류",IF(COUNTIF($B$4:$B$100,B15)&gt;1,"중복 전표",IF(ISNA(MATCH(D15,품목_기준정보!$A$24:$A$35,0)),"미등록 완제품","정상")))))</f>
        <v/>
      </c>
      <c r="L15" s="6" t="n"/>
    </row>
    <row r="16">
      <c r="A16" s="5" t="n"/>
      <c r="B16" s="5" t="n"/>
      <c r="C16" s="5" t="n"/>
      <c r="D16" s="5" t="n"/>
      <c r="E16" s="21">
        <f>IF(D16="","",IFERROR(INDEX(품목_기준정보!$B$24:$B$35,MATCH(D16,품목_기준정보!$A$24:$A$35,0)),"미등록 완제품"))</f>
        <v/>
      </c>
      <c r="F16" s="21">
        <f>IF(D16="","",IFERROR(INDEX(품목_기준정보!$C$24:$C$35,MATCH(D16,품목_기준정보!$A$24:$A$35,0)),""))</f>
        <v/>
      </c>
      <c r="G16" s="7" t="n"/>
      <c r="H16" s="7" t="n"/>
      <c r="I16" s="7" t="n"/>
      <c r="J16" s="5" t="n"/>
      <c r="K16" s="17">
        <f>IF(D16="","",IF(OR(G16&lt;0,H16&lt;0,I16&lt;0),"음수 오류",IF(G16&lt;&gt;(H16+I16),"수량불일치 오류",IF(COUNTIF($B$4:$B$100,B16)&gt;1,"중복 전표",IF(ISNA(MATCH(D16,품목_기준정보!$A$24:$A$35,0)),"미등록 완제품","정상")))))</f>
        <v/>
      </c>
      <c r="L16" s="6" t="n"/>
    </row>
    <row r="17">
      <c r="A17" s="5" t="n"/>
      <c r="B17" s="5" t="n"/>
      <c r="C17" s="5" t="n"/>
      <c r="D17" s="5" t="n"/>
      <c r="E17" s="21">
        <f>IF(D17="","",IFERROR(INDEX(품목_기준정보!$B$24:$B$35,MATCH(D17,품목_기준정보!$A$24:$A$35,0)),"미등록 완제품"))</f>
        <v/>
      </c>
      <c r="F17" s="21">
        <f>IF(D17="","",IFERROR(INDEX(품목_기준정보!$C$24:$C$35,MATCH(D17,품목_기준정보!$A$24:$A$35,0)),""))</f>
        <v/>
      </c>
      <c r="G17" s="7" t="n"/>
      <c r="H17" s="7" t="n"/>
      <c r="I17" s="7" t="n"/>
      <c r="J17" s="5" t="n"/>
      <c r="K17" s="17">
        <f>IF(D17="","",IF(OR(G17&lt;0,H17&lt;0,I17&lt;0),"음수 오류",IF(G17&lt;&gt;(H17+I17),"수량불일치 오류",IF(COUNTIF($B$4:$B$100,B17)&gt;1,"중복 전표",IF(ISNA(MATCH(D17,품목_기준정보!$A$24:$A$35,0)),"미등록 완제품","정상")))))</f>
        <v/>
      </c>
      <c r="L17" s="6" t="n"/>
    </row>
    <row r="18">
      <c r="A18" s="5" t="n"/>
      <c r="B18" s="5" t="n"/>
      <c r="C18" s="5" t="n"/>
      <c r="D18" s="5" t="n"/>
      <c r="E18" s="21">
        <f>IF(D18="","",IFERROR(INDEX(품목_기준정보!$B$24:$B$35,MATCH(D18,품목_기준정보!$A$24:$A$35,0)),"미등록 완제품"))</f>
        <v/>
      </c>
      <c r="F18" s="21">
        <f>IF(D18="","",IFERROR(INDEX(품목_기준정보!$C$24:$C$35,MATCH(D18,품목_기준정보!$A$24:$A$35,0)),""))</f>
        <v/>
      </c>
      <c r="G18" s="7" t="n"/>
      <c r="H18" s="7" t="n"/>
      <c r="I18" s="7" t="n"/>
      <c r="J18" s="5" t="n"/>
      <c r="K18" s="17">
        <f>IF(D18="","",IF(OR(G18&lt;0,H18&lt;0,I18&lt;0),"음수 오류",IF(G18&lt;&gt;(H18+I18),"수량불일치 오류",IF(COUNTIF($B$4:$B$100,B18)&gt;1,"중복 전표",IF(ISNA(MATCH(D18,품목_기준정보!$A$24:$A$35,0)),"미등록 완제품","정상")))))</f>
        <v/>
      </c>
      <c r="L18" s="6" t="n"/>
    </row>
    <row r="19">
      <c r="A19" s="5" t="n"/>
      <c r="B19" s="5" t="n"/>
      <c r="C19" s="5" t="n"/>
      <c r="D19" s="5" t="n"/>
      <c r="E19" s="21">
        <f>IF(D19="","",IFERROR(INDEX(품목_기준정보!$B$24:$B$35,MATCH(D19,품목_기준정보!$A$24:$A$35,0)),"미등록 완제품"))</f>
        <v/>
      </c>
      <c r="F19" s="21">
        <f>IF(D19="","",IFERROR(INDEX(품목_기준정보!$C$24:$C$35,MATCH(D19,품목_기준정보!$A$24:$A$35,0)),""))</f>
        <v/>
      </c>
      <c r="G19" s="7" t="n"/>
      <c r="H19" s="7" t="n"/>
      <c r="I19" s="7" t="n"/>
      <c r="J19" s="5" t="n"/>
      <c r="K19" s="17">
        <f>IF(D19="","",IF(OR(G19&lt;0,H19&lt;0,I19&lt;0),"음수 오류",IF(G19&lt;&gt;(H19+I19),"수량불일치 오류",IF(COUNTIF($B$4:$B$100,B19)&gt;1,"중복 전표",IF(ISNA(MATCH(D19,품목_기준정보!$A$24:$A$35,0)),"미등록 완제품","정상")))))</f>
        <v/>
      </c>
      <c r="L19" s="6" t="n"/>
    </row>
    <row r="20">
      <c r="A20" s="5" t="n"/>
      <c r="B20" s="5" t="n"/>
      <c r="C20" s="5" t="n"/>
      <c r="D20" s="5" t="n"/>
      <c r="E20" s="21">
        <f>IF(D20="","",IFERROR(INDEX(품목_기준정보!$B$24:$B$35,MATCH(D20,품목_기준정보!$A$24:$A$35,0)),"미등록 완제품"))</f>
        <v/>
      </c>
      <c r="F20" s="21">
        <f>IF(D20="","",IFERROR(INDEX(품목_기준정보!$C$24:$C$35,MATCH(D20,품목_기준정보!$A$24:$A$35,0)),""))</f>
        <v/>
      </c>
      <c r="G20" s="7" t="n"/>
      <c r="H20" s="7" t="n"/>
      <c r="I20" s="7" t="n"/>
      <c r="J20" s="5" t="n"/>
      <c r="K20" s="17">
        <f>IF(D20="","",IF(OR(G20&lt;0,H20&lt;0,I20&lt;0),"음수 오류",IF(G20&lt;&gt;(H20+I20),"수량불일치 오류",IF(COUNTIF($B$4:$B$100,B20)&gt;1,"중복 전표",IF(ISNA(MATCH(D20,품목_기준정보!$A$24:$A$35,0)),"미등록 완제품","정상")))))</f>
        <v/>
      </c>
      <c r="L20" s="6" t="n"/>
    </row>
    <row r="21">
      <c r="A21" s="5" t="n"/>
      <c r="B21" s="5" t="n"/>
      <c r="C21" s="5" t="n"/>
      <c r="D21" s="5" t="n"/>
      <c r="E21" s="21">
        <f>IF(D21="","",IFERROR(INDEX(품목_기준정보!$B$24:$B$35,MATCH(D21,품목_기준정보!$A$24:$A$35,0)),"미등록 완제품"))</f>
        <v/>
      </c>
      <c r="F21" s="21">
        <f>IF(D21="","",IFERROR(INDEX(품목_기준정보!$C$24:$C$35,MATCH(D21,품목_기준정보!$A$24:$A$35,0)),""))</f>
        <v/>
      </c>
      <c r="G21" s="7" t="n"/>
      <c r="H21" s="7" t="n"/>
      <c r="I21" s="7" t="n"/>
      <c r="J21" s="5" t="n"/>
      <c r="K21" s="17">
        <f>IF(D21="","",IF(OR(G21&lt;0,H21&lt;0,I21&lt;0),"음수 오류",IF(G21&lt;&gt;(H21+I21),"수량불일치 오류",IF(COUNTIF($B$4:$B$100,B21)&gt;1,"중복 전표",IF(ISNA(MATCH(D21,품목_기준정보!$A$24:$A$35,0)),"미등록 완제품","정상")))))</f>
        <v/>
      </c>
      <c r="L21" s="6" t="n"/>
    </row>
    <row r="22">
      <c r="A22" s="5" t="n"/>
      <c r="B22" s="5" t="n"/>
      <c r="C22" s="5" t="n"/>
      <c r="D22" s="5" t="n"/>
      <c r="E22" s="21">
        <f>IF(D22="","",IFERROR(INDEX(품목_기준정보!$B$24:$B$35,MATCH(D22,품목_기준정보!$A$24:$A$35,0)),"미등록 완제품"))</f>
        <v/>
      </c>
      <c r="F22" s="21">
        <f>IF(D22="","",IFERROR(INDEX(품목_기준정보!$C$24:$C$35,MATCH(D22,품목_기준정보!$A$24:$A$35,0)),""))</f>
        <v/>
      </c>
      <c r="G22" s="7" t="n"/>
      <c r="H22" s="7" t="n"/>
      <c r="I22" s="7" t="n"/>
      <c r="J22" s="5" t="n"/>
      <c r="K22" s="17">
        <f>IF(D22="","",IF(OR(G22&lt;0,H22&lt;0,I22&lt;0),"음수 오류",IF(G22&lt;&gt;(H22+I22),"수량불일치 오류",IF(COUNTIF($B$4:$B$100,B22)&gt;1,"중복 전표",IF(ISNA(MATCH(D22,품목_기준정보!$A$24:$A$35,0)),"미등록 완제품","정상")))))</f>
        <v/>
      </c>
      <c r="L22" s="6" t="n"/>
    </row>
    <row r="23">
      <c r="A23" s="5" t="n"/>
      <c r="B23" s="5" t="n"/>
      <c r="C23" s="5" t="n"/>
      <c r="D23" s="5" t="n"/>
      <c r="E23" s="21">
        <f>IF(D23="","",IFERROR(INDEX(품목_기준정보!$B$24:$B$35,MATCH(D23,품목_기준정보!$A$24:$A$35,0)),"미등록 완제품"))</f>
        <v/>
      </c>
      <c r="F23" s="21">
        <f>IF(D23="","",IFERROR(INDEX(품목_기준정보!$C$24:$C$35,MATCH(D23,품목_기준정보!$A$24:$A$35,0)),""))</f>
        <v/>
      </c>
      <c r="G23" s="7" t="n"/>
      <c r="H23" s="7" t="n"/>
      <c r="I23" s="7" t="n"/>
      <c r="J23" s="5" t="n"/>
      <c r="K23" s="17">
        <f>IF(D23="","",IF(OR(G23&lt;0,H23&lt;0,I23&lt;0),"음수 오류",IF(G23&lt;&gt;(H23+I23),"수량불일치 오류",IF(COUNTIF($B$4:$B$100,B23)&gt;1,"중복 전표",IF(ISNA(MATCH(D23,품목_기준정보!$A$24:$A$35,0)),"미등록 완제품","정상")))))</f>
        <v/>
      </c>
      <c r="L23" s="6" t="n"/>
    </row>
    <row r="24">
      <c r="A24" s="5" t="n"/>
      <c r="B24" s="5" t="n"/>
      <c r="C24" s="5" t="n"/>
      <c r="D24" s="5" t="n"/>
      <c r="E24" s="21">
        <f>IF(D24="","",IFERROR(INDEX(품목_기준정보!$B$24:$B$35,MATCH(D24,품목_기준정보!$A$24:$A$35,0)),"미등록 완제품"))</f>
        <v/>
      </c>
      <c r="F24" s="21">
        <f>IF(D24="","",IFERROR(INDEX(품목_기준정보!$C$24:$C$35,MATCH(D24,품목_기준정보!$A$24:$A$35,0)),""))</f>
        <v/>
      </c>
      <c r="G24" s="7" t="n"/>
      <c r="H24" s="7" t="n"/>
      <c r="I24" s="7" t="n"/>
      <c r="J24" s="5" t="n"/>
      <c r="K24" s="17">
        <f>IF(D24="","",IF(OR(G24&lt;0,H24&lt;0,I24&lt;0),"음수 오류",IF(G24&lt;&gt;(H24+I24),"수량불일치 오류",IF(COUNTIF($B$4:$B$100,B24)&gt;1,"중복 전표",IF(ISNA(MATCH(D24,품목_기준정보!$A$24:$A$35,0)),"미등록 완제품","정상")))))</f>
        <v/>
      </c>
      <c r="L24" s="6" t="n"/>
    </row>
    <row r="25">
      <c r="A25" s="5" t="n"/>
      <c r="B25" s="5" t="n"/>
      <c r="C25" s="5" t="n"/>
      <c r="D25" s="5" t="n"/>
      <c r="E25" s="21">
        <f>IF(D25="","",IFERROR(INDEX(품목_기준정보!$B$24:$B$35,MATCH(D25,품목_기준정보!$A$24:$A$35,0)),"미등록 완제품"))</f>
        <v/>
      </c>
      <c r="F25" s="21">
        <f>IF(D25="","",IFERROR(INDEX(품목_기준정보!$C$24:$C$35,MATCH(D25,품목_기준정보!$A$24:$A$35,0)),""))</f>
        <v/>
      </c>
      <c r="G25" s="7" t="n"/>
      <c r="H25" s="7" t="n"/>
      <c r="I25" s="7" t="n"/>
      <c r="J25" s="5" t="n"/>
      <c r="K25" s="17">
        <f>IF(D25="","",IF(OR(G25&lt;0,H25&lt;0,I25&lt;0),"음수 오류",IF(G25&lt;&gt;(H25+I25),"수량불일치 오류",IF(COUNTIF($B$4:$B$100,B25)&gt;1,"중복 전표",IF(ISNA(MATCH(D25,품목_기준정보!$A$24:$A$35,0)),"미등록 완제품","정상")))))</f>
        <v/>
      </c>
      <c r="L25" s="6" t="n"/>
    </row>
    <row r="26">
      <c r="A26" s="5" t="n"/>
      <c r="B26" s="5" t="n"/>
      <c r="C26" s="5" t="n"/>
      <c r="D26" s="5" t="n"/>
      <c r="E26" s="21">
        <f>IF(D26="","",IFERROR(INDEX(품목_기준정보!$B$24:$B$35,MATCH(D26,품목_기준정보!$A$24:$A$35,0)),"미등록 완제품"))</f>
        <v/>
      </c>
      <c r="F26" s="21">
        <f>IF(D26="","",IFERROR(INDEX(품목_기준정보!$C$24:$C$35,MATCH(D26,품목_기준정보!$A$24:$A$35,0)),""))</f>
        <v/>
      </c>
      <c r="G26" s="7" t="n"/>
      <c r="H26" s="7" t="n"/>
      <c r="I26" s="7" t="n"/>
      <c r="J26" s="5" t="n"/>
      <c r="K26" s="17">
        <f>IF(D26="","",IF(OR(G26&lt;0,H26&lt;0,I26&lt;0),"음수 오류",IF(G26&lt;&gt;(H26+I26),"수량불일치 오류",IF(COUNTIF($B$4:$B$100,B26)&gt;1,"중복 전표",IF(ISNA(MATCH(D26,품목_기준정보!$A$24:$A$35,0)),"미등록 완제품","정상")))))</f>
        <v/>
      </c>
      <c r="L26" s="6" t="n"/>
    </row>
    <row r="27">
      <c r="A27" s="5" t="n"/>
      <c r="B27" s="5" t="n"/>
      <c r="C27" s="5" t="n"/>
      <c r="D27" s="5" t="n"/>
      <c r="E27" s="21">
        <f>IF(D27="","",IFERROR(INDEX(품목_기준정보!$B$24:$B$35,MATCH(D27,품목_기준정보!$A$24:$A$35,0)),"미등록 완제품"))</f>
        <v/>
      </c>
      <c r="F27" s="21">
        <f>IF(D27="","",IFERROR(INDEX(품목_기준정보!$C$24:$C$35,MATCH(D27,품목_기준정보!$A$24:$A$35,0)),""))</f>
        <v/>
      </c>
      <c r="G27" s="7" t="n"/>
      <c r="H27" s="7" t="n"/>
      <c r="I27" s="7" t="n"/>
      <c r="J27" s="5" t="n"/>
      <c r="K27" s="17">
        <f>IF(D27="","",IF(OR(G27&lt;0,H27&lt;0,I27&lt;0),"음수 오류",IF(G27&lt;&gt;(H27+I27),"수량불일치 오류",IF(COUNTIF($B$4:$B$100,B27)&gt;1,"중복 전표",IF(ISNA(MATCH(D27,품목_기준정보!$A$24:$A$35,0)),"미등록 완제품","정상")))))</f>
        <v/>
      </c>
      <c r="L27" s="6" t="n"/>
    </row>
    <row r="28">
      <c r="A28" s="5" t="n"/>
      <c r="B28" s="5" t="n"/>
      <c r="C28" s="5" t="n"/>
      <c r="D28" s="5" t="n"/>
      <c r="E28" s="21">
        <f>IF(D28="","",IFERROR(INDEX(품목_기준정보!$B$24:$B$35,MATCH(D28,품목_기준정보!$A$24:$A$35,0)),"미등록 완제품"))</f>
        <v/>
      </c>
      <c r="F28" s="21">
        <f>IF(D28="","",IFERROR(INDEX(품목_기준정보!$C$24:$C$35,MATCH(D28,품목_기준정보!$A$24:$A$35,0)),""))</f>
        <v/>
      </c>
      <c r="G28" s="7" t="n"/>
      <c r="H28" s="7" t="n"/>
      <c r="I28" s="7" t="n"/>
      <c r="J28" s="5" t="n"/>
      <c r="K28" s="17">
        <f>IF(D28="","",IF(OR(G28&lt;0,H28&lt;0,I28&lt;0),"음수 오류",IF(G28&lt;&gt;(H28+I28),"수량불일치 오류",IF(COUNTIF($B$4:$B$100,B28)&gt;1,"중복 전표",IF(ISNA(MATCH(D28,품목_기준정보!$A$24:$A$35,0)),"미등록 완제품","정상")))))</f>
        <v/>
      </c>
      <c r="L28" s="6" t="n"/>
    </row>
    <row r="29">
      <c r="A29" s="5" t="n"/>
      <c r="B29" s="5" t="n"/>
      <c r="C29" s="5" t="n"/>
      <c r="D29" s="5" t="n"/>
      <c r="E29" s="21">
        <f>IF(D29="","",IFERROR(INDEX(품목_기준정보!$B$24:$B$35,MATCH(D29,품목_기준정보!$A$24:$A$35,0)),"미등록 완제품"))</f>
        <v/>
      </c>
      <c r="F29" s="21">
        <f>IF(D29="","",IFERROR(INDEX(품목_기준정보!$C$24:$C$35,MATCH(D29,품목_기준정보!$A$24:$A$35,0)),""))</f>
        <v/>
      </c>
      <c r="G29" s="7" t="n"/>
      <c r="H29" s="7" t="n"/>
      <c r="I29" s="7" t="n"/>
      <c r="J29" s="5" t="n"/>
      <c r="K29" s="17">
        <f>IF(D29="","",IF(OR(G29&lt;0,H29&lt;0,I29&lt;0),"음수 오류",IF(G29&lt;&gt;(H29+I29),"수량불일치 오류",IF(COUNTIF($B$4:$B$100,B29)&gt;1,"중복 전표",IF(ISNA(MATCH(D29,품목_기준정보!$A$24:$A$35,0)),"미등록 완제품","정상")))))</f>
        <v/>
      </c>
      <c r="L29" s="6" t="n"/>
    </row>
    <row r="30">
      <c r="A30" s="5" t="n"/>
      <c r="B30" s="5" t="n"/>
      <c r="C30" s="5" t="n"/>
      <c r="D30" s="5" t="n"/>
      <c r="E30" s="21">
        <f>IF(D30="","",IFERROR(INDEX(품목_기준정보!$B$24:$B$35,MATCH(D30,품목_기준정보!$A$24:$A$35,0)),"미등록 완제품"))</f>
        <v/>
      </c>
      <c r="F30" s="21">
        <f>IF(D30="","",IFERROR(INDEX(품목_기준정보!$C$24:$C$35,MATCH(D30,품목_기준정보!$A$24:$A$35,0)),""))</f>
        <v/>
      </c>
      <c r="G30" s="7" t="n"/>
      <c r="H30" s="7" t="n"/>
      <c r="I30" s="7" t="n"/>
      <c r="J30" s="5" t="n"/>
      <c r="K30" s="17">
        <f>IF(D30="","",IF(OR(G30&lt;0,H30&lt;0,I30&lt;0),"음수 오류",IF(G30&lt;&gt;(H30+I30),"수량불일치 오류",IF(COUNTIF($B$4:$B$100,B30)&gt;1,"중복 전표",IF(ISNA(MATCH(D30,품목_기준정보!$A$24:$A$35,0)),"미등록 완제품","정상")))))</f>
        <v/>
      </c>
      <c r="L30" s="6" t="n"/>
    </row>
    <row r="31">
      <c r="A31" s="5" t="n"/>
      <c r="B31" s="5" t="n"/>
      <c r="C31" s="5" t="n"/>
      <c r="D31" s="5" t="n"/>
      <c r="E31" s="21">
        <f>IF(D31="","",IFERROR(INDEX(품목_기준정보!$B$24:$B$35,MATCH(D31,품목_기준정보!$A$24:$A$35,0)),"미등록 완제품"))</f>
        <v/>
      </c>
      <c r="F31" s="21">
        <f>IF(D31="","",IFERROR(INDEX(품목_기준정보!$C$24:$C$35,MATCH(D31,품목_기준정보!$A$24:$A$35,0)),""))</f>
        <v/>
      </c>
      <c r="G31" s="7" t="n"/>
      <c r="H31" s="7" t="n"/>
      <c r="I31" s="7" t="n"/>
      <c r="J31" s="5" t="n"/>
      <c r="K31" s="17">
        <f>IF(D31="","",IF(OR(G31&lt;0,H31&lt;0,I31&lt;0),"음수 오류",IF(G31&lt;&gt;(H31+I31),"수량불일치 오류",IF(COUNTIF($B$4:$B$100,B31)&gt;1,"중복 전표",IF(ISNA(MATCH(D31,품목_기준정보!$A$24:$A$35,0)),"미등록 완제품","정상")))))</f>
        <v/>
      </c>
      <c r="L31" s="6" t="n"/>
    </row>
    <row r="32">
      <c r="A32" s="5" t="n"/>
      <c r="B32" s="5" t="n"/>
      <c r="C32" s="5" t="n"/>
      <c r="D32" s="5" t="n"/>
      <c r="E32" s="21">
        <f>IF(D32="","",IFERROR(INDEX(품목_기준정보!$B$24:$B$35,MATCH(D32,품목_기준정보!$A$24:$A$35,0)),"미등록 완제품"))</f>
        <v/>
      </c>
      <c r="F32" s="21">
        <f>IF(D32="","",IFERROR(INDEX(품목_기준정보!$C$24:$C$35,MATCH(D32,품목_기준정보!$A$24:$A$35,0)),""))</f>
        <v/>
      </c>
      <c r="G32" s="7" t="n"/>
      <c r="H32" s="7" t="n"/>
      <c r="I32" s="7" t="n"/>
      <c r="J32" s="5" t="n"/>
      <c r="K32" s="17">
        <f>IF(D32="","",IF(OR(G32&lt;0,H32&lt;0,I32&lt;0),"음수 오류",IF(G32&lt;&gt;(H32+I32),"수량불일치 오류",IF(COUNTIF($B$4:$B$100,B32)&gt;1,"중복 전표",IF(ISNA(MATCH(D32,품목_기준정보!$A$24:$A$35,0)),"미등록 완제품","정상")))))</f>
        <v/>
      </c>
      <c r="L32" s="6" t="n"/>
    </row>
    <row r="33">
      <c r="A33" s="5" t="n"/>
      <c r="B33" s="5" t="n"/>
      <c r="C33" s="5" t="n"/>
      <c r="D33" s="5" t="n"/>
      <c r="E33" s="21">
        <f>IF(D33="","",IFERROR(INDEX(품목_기준정보!$B$24:$B$35,MATCH(D33,품목_기준정보!$A$24:$A$35,0)),"미등록 완제품"))</f>
        <v/>
      </c>
      <c r="F33" s="21">
        <f>IF(D33="","",IFERROR(INDEX(품목_기준정보!$C$24:$C$35,MATCH(D33,품목_기준정보!$A$24:$A$35,0)),""))</f>
        <v/>
      </c>
      <c r="G33" s="7" t="n"/>
      <c r="H33" s="7" t="n"/>
      <c r="I33" s="7" t="n"/>
      <c r="J33" s="5" t="n"/>
      <c r="K33" s="17">
        <f>IF(D33="","",IF(OR(G33&lt;0,H33&lt;0,I33&lt;0),"음수 오류",IF(G33&lt;&gt;(H33+I33),"수량불일치 오류",IF(COUNTIF($B$4:$B$100,B33)&gt;1,"중복 전표",IF(ISNA(MATCH(D33,품목_기준정보!$A$24:$A$35,0)),"미등록 완제품","정상")))))</f>
        <v/>
      </c>
      <c r="L33" s="6" t="n"/>
    </row>
    <row r="34">
      <c r="A34" s="5" t="n"/>
      <c r="B34" s="5" t="n"/>
      <c r="C34" s="5" t="n"/>
      <c r="D34" s="5" t="n"/>
      <c r="E34" s="21">
        <f>IF(D34="","",IFERROR(INDEX(품목_기준정보!$B$24:$B$35,MATCH(D34,품목_기준정보!$A$24:$A$35,0)),"미등록 완제품"))</f>
        <v/>
      </c>
      <c r="F34" s="21">
        <f>IF(D34="","",IFERROR(INDEX(품목_기준정보!$C$24:$C$35,MATCH(D34,품목_기준정보!$A$24:$A$35,0)),""))</f>
        <v/>
      </c>
      <c r="G34" s="7" t="n"/>
      <c r="H34" s="7" t="n"/>
      <c r="I34" s="7" t="n"/>
      <c r="J34" s="5" t="n"/>
      <c r="K34" s="17">
        <f>IF(D34="","",IF(OR(G34&lt;0,H34&lt;0,I34&lt;0),"음수 오류",IF(G34&lt;&gt;(H34+I34),"수량불일치 오류",IF(COUNTIF($B$4:$B$100,B34)&gt;1,"중복 전표",IF(ISNA(MATCH(D34,품목_기준정보!$A$24:$A$35,0)),"미등록 완제품","정상")))))</f>
        <v/>
      </c>
      <c r="L34" s="6" t="n"/>
    </row>
    <row r="35">
      <c r="A35" s="5" t="n"/>
      <c r="B35" s="5" t="n"/>
      <c r="C35" s="5" t="n"/>
      <c r="D35" s="5" t="n"/>
      <c r="E35" s="21">
        <f>IF(D35="","",IFERROR(INDEX(품목_기준정보!$B$24:$B$35,MATCH(D35,품목_기준정보!$A$24:$A$35,0)),"미등록 완제품"))</f>
        <v/>
      </c>
      <c r="F35" s="21">
        <f>IF(D35="","",IFERROR(INDEX(품목_기준정보!$C$24:$C$35,MATCH(D35,품목_기준정보!$A$24:$A$35,0)),""))</f>
        <v/>
      </c>
      <c r="G35" s="7" t="n"/>
      <c r="H35" s="7" t="n"/>
      <c r="I35" s="7" t="n"/>
      <c r="J35" s="5" t="n"/>
      <c r="K35" s="17">
        <f>IF(D35="","",IF(OR(G35&lt;0,H35&lt;0,I35&lt;0),"음수 오류",IF(G35&lt;&gt;(H35+I35),"수량불일치 오류",IF(COUNTIF($B$4:$B$100,B35)&gt;1,"중복 전표",IF(ISNA(MATCH(D35,품목_기준정보!$A$24:$A$35,0)),"미등록 완제품","정상")))))</f>
        <v/>
      </c>
      <c r="L35" s="6" t="n"/>
    </row>
    <row r="36">
      <c r="A36" s="5" t="n"/>
      <c r="B36" s="5" t="n"/>
      <c r="C36" s="5" t="n"/>
      <c r="D36" s="5" t="n"/>
      <c r="E36" s="21">
        <f>IF(D36="","",IFERROR(INDEX(품목_기준정보!$B$24:$B$35,MATCH(D36,품목_기준정보!$A$24:$A$35,0)),"미등록 완제품"))</f>
        <v/>
      </c>
      <c r="F36" s="21">
        <f>IF(D36="","",IFERROR(INDEX(품목_기준정보!$C$24:$C$35,MATCH(D36,품목_기준정보!$A$24:$A$35,0)),""))</f>
        <v/>
      </c>
      <c r="G36" s="7" t="n"/>
      <c r="H36" s="7" t="n"/>
      <c r="I36" s="7" t="n"/>
      <c r="J36" s="5" t="n"/>
      <c r="K36" s="17">
        <f>IF(D36="","",IF(OR(G36&lt;0,H36&lt;0,I36&lt;0),"음수 오류",IF(G36&lt;&gt;(H36+I36),"수량불일치 오류",IF(COUNTIF($B$4:$B$100,B36)&gt;1,"중복 전표",IF(ISNA(MATCH(D36,품목_기준정보!$A$24:$A$35,0)),"미등록 완제품","정상")))))</f>
        <v/>
      </c>
      <c r="L36" s="6" t="n"/>
    </row>
    <row r="37">
      <c r="A37" s="5" t="n"/>
      <c r="B37" s="5" t="n"/>
      <c r="C37" s="5" t="n"/>
      <c r="D37" s="5" t="n"/>
      <c r="E37" s="21">
        <f>IF(D37="","",IFERROR(INDEX(품목_기준정보!$B$24:$B$35,MATCH(D37,품목_기준정보!$A$24:$A$35,0)),"미등록 완제품"))</f>
        <v/>
      </c>
      <c r="F37" s="21">
        <f>IF(D37="","",IFERROR(INDEX(품목_기준정보!$C$24:$C$35,MATCH(D37,품목_기준정보!$A$24:$A$35,0)),""))</f>
        <v/>
      </c>
      <c r="G37" s="7" t="n"/>
      <c r="H37" s="7" t="n"/>
      <c r="I37" s="7" t="n"/>
      <c r="J37" s="5" t="n"/>
      <c r="K37" s="17">
        <f>IF(D37="","",IF(OR(G37&lt;0,H37&lt;0,I37&lt;0),"음수 오류",IF(G37&lt;&gt;(H37+I37),"수량불일치 오류",IF(COUNTIF($B$4:$B$100,B37)&gt;1,"중복 전표",IF(ISNA(MATCH(D37,품목_기준정보!$A$24:$A$35,0)),"미등록 완제품","정상")))))</f>
        <v/>
      </c>
      <c r="L37" s="6" t="n"/>
    </row>
    <row r="38">
      <c r="A38" s="5" t="n"/>
      <c r="B38" s="5" t="n"/>
      <c r="C38" s="5" t="n"/>
      <c r="D38" s="5" t="n"/>
      <c r="E38" s="21">
        <f>IF(D38="","",IFERROR(INDEX(품목_기준정보!$B$24:$B$35,MATCH(D38,품목_기준정보!$A$24:$A$35,0)),"미등록 완제품"))</f>
        <v/>
      </c>
      <c r="F38" s="21">
        <f>IF(D38="","",IFERROR(INDEX(품목_기준정보!$C$24:$C$35,MATCH(D38,품목_기준정보!$A$24:$A$35,0)),""))</f>
        <v/>
      </c>
      <c r="G38" s="7" t="n"/>
      <c r="H38" s="7" t="n"/>
      <c r="I38" s="7" t="n"/>
      <c r="J38" s="5" t="n"/>
      <c r="K38" s="17">
        <f>IF(D38="","",IF(OR(G38&lt;0,H38&lt;0,I38&lt;0),"음수 오류",IF(G38&lt;&gt;(H38+I38),"수량불일치 오류",IF(COUNTIF($B$4:$B$100,B38)&gt;1,"중복 전표",IF(ISNA(MATCH(D38,품목_기준정보!$A$24:$A$35,0)),"미등록 완제품","정상")))))</f>
        <v/>
      </c>
      <c r="L38" s="6" t="n"/>
    </row>
    <row r="39">
      <c r="A39" s="5" t="n"/>
      <c r="B39" s="5" t="n"/>
      <c r="C39" s="5" t="n"/>
      <c r="D39" s="5" t="n"/>
      <c r="E39" s="21">
        <f>IF(D39="","",IFERROR(INDEX(품목_기준정보!$B$24:$B$35,MATCH(D39,품목_기준정보!$A$24:$A$35,0)),"미등록 완제품"))</f>
        <v/>
      </c>
      <c r="F39" s="21">
        <f>IF(D39="","",IFERROR(INDEX(품목_기준정보!$C$24:$C$35,MATCH(D39,품목_기준정보!$A$24:$A$35,0)),""))</f>
        <v/>
      </c>
      <c r="G39" s="7" t="n"/>
      <c r="H39" s="7" t="n"/>
      <c r="I39" s="7" t="n"/>
      <c r="J39" s="5" t="n"/>
      <c r="K39" s="17">
        <f>IF(D39="","",IF(OR(G39&lt;0,H39&lt;0,I39&lt;0),"음수 오류",IF(G39&lt;&gt;(H39+I39),"수량불일치 오류",IF(COUNTIF($B$4:$B$100,B39)&gt;1,"중복 전표",IF(ISNA(MATCH(D39,품목_기준정보!$A$24:$A$35,0)),"미등록 완제품","정상")))))</f>
        <v/>
      </c>
      <c r="L39" s="6" t="n"/>
    </row>
    <row r="40">
      <c r="A40" s="5" t="n"/>
      <c r="B40" s="5" t="n"/>
      <c r="C40" s="5" t="n"/>
      <c r="D40" s="5" t="n"/>
      <c r="E40" s="21">
        <f>IF(D40="","",IFERROR(INDEX(품목_기준정보!$B$24:$B$35,MATCH(D40,품목_기준정보!$A$24:$A$35,0)),"미등록 완제품"))</f>
        <v/>
      </c>
      <c r="F40" s="21">
        <f>IF(D40="","",IFERROR(INDEX(품목_기준정보!$C$24:$C$35,MATCH(D40,품목_기준정보!$A$24:$A$35,0)),""))</f>
        <v/>
      </c>
      <c r="G40" s="7" t="n"/>
      <c r="H40" s="7" t="n"/>
      <c r="I40" s="7" t="n"/>
      <c r="J40" s="5" t="n"/>
      <c r="K40" s="17">
        <f>IF(D40="","",IF(OR(G40&lt;0,H40&lt;0,I40&lt;0),"음수 오류",IF(G40&lt;&gt;(H40+I40),"수량불일치 오류",IF(COUNTIF($B$4:$B$100,B40)&gt;1,"중복 전표",IF(ISNA(MATCH(D40,품목_기준정보!$A$24:$A$35,0)),"미등록 완제품","정상")))))</f>
        <v/>
      </c>
      <c r="L40" s="6" t="n"/>
    </row>
    <row r="41">
      <c r="A41" s="5" t="n"/>
      <c r="B41" s="5" t="n"/>
      <c r="C41" s="5" t="n"/>
      <c r="D41" s="5" t="n"/>
      <c r="E41" s="21">
        <f>IF(D41="","",IFERROR(INDEX(품목_기준정보!$B$24:$B$35,MATCH(D41,품목_기준정보!$A$24:$A$35,0)),"미등록 완제품"))</f>
        <v/>
      </c>
      <c r="F41" s="21">
        <f>IF(D41="","",IFERROR(INDEX(품목_기준정보!$C$24:$C$35,MATCH(D41,품목_기준정보!$A$24:$A$35,0)),""))</f>
        <v/>
      </c>
      <c r="G41" s="7" t="n"/>
      <c r="H41" s="7" t="n"/>
      <c r="I41" s="7" t="n"/>
      <c r="J41" s="5" t="n"/>
      <c r="K41" s="17">
        <f>IF(D41="","",IF(OR(G41&lt;0,H41&lt;0,I41&lt;0),"음수 오류",IF(G41&lt;&gt;(H41+I41),"수량불일치 오류",IF(COUNTIF($B$4:$B$100,B41)&gt;1,"중복 전표",IF(ISNA(MATCH(D41,품목_기준정보!$A$24:$A$35,0)),"미등록 완제품","정상")))))</f>
        <v/>
      </c>
      <c r="L41" s="6" t="n"/>
    </row>
    <row r="42">
      <c r="A42" s="5" t="n"/>
      <c r="B42" s="5" t="n"/>
      <c r="C42" s="5" t="n"/>
      <c r="D42" s="5" t="n"/>
      <c r="E42" s="21">
        <f>IF(D42="","",IFERROR(INDEX(품목_기준정보!$B$24:$B$35,MATCH(D42,품목_기준정보!$A$24:$A$35,0)),"미등록 완제품"))</f>
        <v/>
      </c>
      <c r="F42" s="21">
        <f>IF(D42="","",IFERROR(INDEX(품목_기준정보!$C$24:$C$35,MATCH(D42,품목_기준정보!$A$24:$A$35,0)),""))</f>
        <v/>
      </c>
      <c r="G42" s="7" t="n"/>
      <c r="H42" s="7" t="n"/>
      <c r="I42" s="7" t="n"/>
      <c r="J42" s="5" t="n"/>
      <c r="K42" s="17">
        <f>IF(D42="","",IF(OR(G42&lt;0,H42&lt;0,I42&lt;0),"음수 오류",IF(G42&lt;&gt;(H42+I42),"수량불일치 오류",IF(COUNTIF($B$4:$B$100,B42)&gt;1,"중복 전표",IF(ISNA(MATCH(D42,품목_기준정보!$A$24:$A$35,0)),"미등록 완제품","정상")))))</f>
        <v/>
      </c>
      <c r="L42" s="6" t="n"/>
    </row>
    <row r="43">
      <c r="A43" s="5" t="n"/>
      <c r="B43" s="5" t="n"/>
      <c r="C43" s="5" t="n"/>
      <c r="D43" s="5" t="n"/>
      <c r="E43" s="21">
        <f>IF(D43="","",IFERROR(INDEX(품목_기준정보!$B$24:$B$35,MATCH(D43,품목_기준정보!$A$24:$A$35,0)),"미등록 완제품"))</f>
        <v/>
      </c>
      <c r="F43" s="21">
        <f>IF(D43="","",IFERROR(INDEX(품목_기준정보!$C$24:$C$35,MATCH(D43,품목_기준정보!$A$24:$A$35,0)),""))</f>
        <v/>
      </c>
      <c r="G43" s="7" t="n"/>
      <c r="H43" s="7" t="n"/>
      <c r="I43" s="7" t="n"/>
      <c r="J43" s="5" t="n"/>
      <c r="K43" s="17">
        <f>IF(D43="","",IF(OR(G43&lt;0,H43&lt;0,I43&lt;0),"음수 오류",IF(G43&lt;&gt;(H43+I43),"수량불일치 오류",IF(COUNTIF($B$4:$B$100,B43)&gt;1,"중복 전표",IF(ISNA(MATCH(D43,품목_기준정보!$A$24:$A$35,0)),"미등록 완제품","정상")))))</f>
        <v/>
      </c>
      <c r="L43" s="6" t="n"/>
    </row>
    <row r="44">
      <c r="A44" s="5" t="n"/>
      <c r="B44" s="5" t="n"/>
      <c r="C44" s="5" t="n"/>
      <c r="D44" s="5" t="n"/>
      <c r="E44" s="21">
        <f>IF(D44="","",IFERROR(INDEX(품목_기준정보!$B$24:$B$35,MATCH(D44,품목_기준정보!$A$24:$A$35,0)),"미등록 완제품"))</f>
        <v/>
      </c>
      <c r="F44" s="21">
        <f>IF(D44="","",IFERROR(INDEX(품목_기준정보!$C$24:$C$35,MATCH(D44,품목_기준정보!$A$24:$A$35,0)),""))</f>
        <v/>
      </c>
      <c r="G44" s="7" t="n"/>
      <c r="H44" s="7" t="n"/>
      <c r="I44" s="7" t="n"/>
      <c r="J44" s="5" t="n"/>
      <c r="K44" s="17">
        <f>IF(D44="","",IF(OR(G44&lt;0,H44&lt;0,I44&lt;0),"음수 오류",IF(G44&lt;&gt;(H44+I44),"수량불일치 오류",IF(COUNTIF($B$4:$B$100,B44)&gt;1,"중복 전표",IF(ISNA(MATCH(D44,품목_기준정보!$A$24:$A$35,0)),"미등록 완제품","정상")))))</f>
        <v/>
      </c>
      <c r="L44" s="6" t="n"/>
    </row>
    <row r="45">
      <c r="A45" s="5" t="n"/>
      <c r="B45" s="5" t="n"/>
      <c r="C45" s="5" t="n"/>
      <c r="D45" s="5" t="n"/>
      <c r="E45" s="21">
        <f>IF(D45="","",IFERROR(INDEX(품목_기준정보!$B$24:$B$35,MATCH(D45,품목_기준정보!$A$24:$A$35,0)),"미등록 완제품"))</f>
        <v/>
      </c>
      <c r="F45" s="21">
        <f>IF(D45="","",IFERROR(INDEX(품목_기준정보!$C$24:$C$35,MATCH(D45,품목_기준정보!$A$24:$A$35,0)),""))</f>
        <v/>
      </c>
      <c r="G45" s="7" t="n"/>
      <c r="H45" s="7" t="n"/>
      <c r="I45" s="7" t="n"/>
      <c r="J45" s="5" t="n"/>
      <c r="K45" s="17">
        <f>IF(D45="","",IF(OR(G45&lt;0,H45&lt;0,I45&lt;0),"음수 오류",IF(G45&lt;&gt;(H45+I45),"수량불일치 오류",IF(COUNTIF($B$4:$B$100,B45)&gt;1,"중복 전표",IF(ISNA(MATCH(D45,품목_기준정보!$A$24:$A$35,0)),"미등록 완제품","정상")))))</f>
        <v/>
      </c>
      <c r="L45" s="6" t="n"/>
    </row>
    <row r="46">
      <c r="A46" s="5" t="n"/>
      <c r="B46" s="5" t="n"/>
      <c r="C46" s="5" t="n"/>
      <c r="D46" s="5" t="n"/>
      <c r="E46" s="21">
        <f>IF(D46="","",IFERROR(INDEX(품목_기준정보!$B$24:$B$35,MATCH(D46,품목_기준정보!$A$24:$A$35,0)),"미등록 완제품"))</f>
        <v/>
      </c>
      <c r="F46" s="21">
        <f>IF(D46="","",IFERROR(INDEX(품목_기준정보!$C$24:$C$35,MATCH(D46,품목_기준정보!$A$24:$A$35,0)),""))</f>
        <v/>
      </c>
      <c r="G46" s="7" t="n"/>
      <c r="H46" s="7" t="n"/>
      <c r="I46" s="7" t="n"/>
      <c r="J46" s="5" t="n"/>
      <c r="K46" s="17">
        <f>IF(D46="","",IF(OR(G46&lt;0,H46&lt;0,I46&lt;0),"음수 오류",IF(G46&lt;&gt;(H46+I46),"수량불일치 오류",IF(COUNTIF($B$4:$B$100,B46)&gt;1,"중복 전표",IF(ISNA(MATCH(D46,품목_기준정보!$A$24:$A$35,0)),"미등록 완제품","정상")))))</f>
        <v/>
      </c>
      <c r="L46" s="6" t="n"/>
    </row>
    <row r="47">
      <c r="A47" s="5" t="n"/>
      <c r="B47" s="5" t="n"/>
      <c r="C47" s="5" t="n"/>
      <c r="D47" s="5" t="n"/>
      <c r="E47" s="21">
        <f>IF(D47="","",IFERROR(INDEX(품목_기준정보!$B$24:$B$35,MATCH(D47,품목_기준정보!$A$24:$A$35,0)),"미등록 완제품"))</f>
        <v/>
      </c>
      <c r="F47" s="21">
        <f>IF(D47="","",IFERROR(INDEX(품목_기준정보!$C$24:$C$35,MATCH(D47,품목_기준정보!$A$24:$A$35,0)),""))</f>
        <v/>
      </c>
      <c r="G47" s="7" t="n"/>
      <c r="H47" s="7" t="n"/>
      <c r="I47" s="7" t="n"/>
      <c r="J47" s="5" t="n"/>
      <c r="K47" s="17">
        <f>IF(D47="","",IF(OR(G47&lt;0,H47&lt;0,I47&lt;0),"음수 오류",IF(G47&lt;&gt;(H47+I47),"수량불일치 오류",IF(COUNTIF($B$4:$B$100,B47)&gt;1,"중복 전표",IF(ISNA(MATCH(D47,품목_기준정보!$A$24:$A$35,0)),"미등록 완제품","정상")))))</f>
        <v/>
      </c>
      <c r="L47" s="6" t="n"/>
    </row>
    <row r="48">
      <c r="A48" s="5" t="n"/>
      <c r="B48" s="5" t="n"/>
      <c r="C48" s="5" t="n"/>
      <c r="D48" s="5" t="n"/>
      <c r="E48" s="21">
        <f>IF(D48="","",IFERROR(INDEX(품목_기준정보!$B$24:$B$35,MATCH(D48,품목_기준정보!$A$24:$A$35,0)),"미등록 완제품"))</f>
        <v/>
      </c>
      <c r="F48" s="21">
        <f>IF(D48="","",IFERROR(INDEX(품목_기준정보!$C$24:$C$35,MATCH(D48,품목_기준정보!$A$24:$A$35,0)),""))</f>
        <v/>
      </c>
      <c r="G48" s="7" t="n"/>
      <c r="H48" s="7" t="n"/>
      <c r="I48" s="7" t="n"/>
      <c r="J48" s="5" t="n"/>
      <c r="K48" s="17">
        <f>IF(D48="","",IF(OR(G48&lt;0,H48&lt;0,I48&lt;0),"음수 오류",IF(G48&lt;&gt;(H48+I48),"수량불일치 오류",IF(COUNTIF($B$4:$B$100,B48)&gt;1,"중복 전표",IF(ISNA(MATCH(D48,품목_기준정보!$A$24:$A$35,0)),"미등록 완제품","정상")))))</f>
        <v/>
      </c>
      <c r="L48" s="6" t="n"/>
    </row>
    <row r="49">
      <c r="A49" s="5" t="n"/>
      <c r="B49" s="5" t="n"/>
      <c r="C49" s="5" t="n"/>
      <c r="D49" s="5" t="n"/>
      <c r="E49" s="21">
        <f>IF(D49="","",IFERROR(INDEX(품목_기준정보!$B$24:$B$35,MATCH(D49,품목_기준정보!$A$24:$A$35,0)),"미등록 완제품"))</f>
        <v/>
      </c>
      <c r="F49" s="21">
        <f>IF(D49="","",IFERROR(INDEX(품목_기준정보!$C$24:$C$35,MATCH(D49,품목_기준정보!$A$24:$A$35,0)),""))</f>
        <v/>
      </c>
      <c r="G49" s="7" t="n"/>
      <c r="H49" s="7" t="n"/>
      <c r="I49" s="7" t="n"/>
      <c r="J49" s="5" t="n"/>
      <c r="K49" s="17">
        <f>IF(D49="","",IF(OR(G49&lt;0,H49&lt;0,I49&lt;0),"음수 오류",IF(G49&lt;&gt;(H49+I49),"수량불일치 오류",IF(COUNTIF($B$4:$B$100,B49)&gt;1,"중복 전표",IF(ISNA(MATCH(D49,품목_기준정보!$A$24:$A$35,0)),"미등록 완제품","정상")))))</f>
        <v/>
      </c>
      <c r="L49" s="6" t="n"/>
    </row>
    <row r="50">
      <c r="A50" s="5" t="n"/>
      <c r="B50" s="5" t="n"/>
      <c r="C50" s="5" t="n"/>
      <c r="D50" s="5" t="n"/>
      <c r="E50" s="21">
        <f>IF(D50="","",IFERROR(INDEX(품목_기준정보!$B$24:$B$35,MATCH(D50,품목_기준정보!$A$24:$A$35,0)),"미등록 완제품"))</f>
        <v/>
      </c>
      <c r="F50" s="21">
        <f>IF(D50="","",IFERROR(INDEX(품목_기준정보!$C$24:$C$35,MATCH(D50,품목_기준정보!$A$24:$A$35,0)),""))</f>
        <v/>
      </c>
      <c r="G50" s="7" t="n"/>
      <c r="H50" s="7" t="n"/>
      <c r="I50" s="7" t="n"/>
      <c r="J50" s="5" t="n"/>
      <c r="K50" s="17">
        <f>IF(D50="","",IF(OR(G50&lt;0,H50&lt;0,I50&lt;0),"음수 오류",IF(G50&lt;&gt;(H50+I50),"수량불일치 오류",IF(COUNTIF($B$4:$B$100,B50)&gt;1,"중복 전표",IF(ISNA(MATCH(D50,품목_기준정보!$A$24:$A$35,0)),"미등록 완제품","정상")))))</f>
        <v/>
      </c>
      <c r="L50" s="6" t="n"/>
    </row>
    <row r="51">
      <c r="A51" s="5" t="n"/>
      <c r="B51" s="5" t="n"/>
      <c r="C51" s="5" t="n"/>
      <c r="D51" s="5" t="n"/>
      <c r="E51" s="21">
        <f>IF(D51="","",IFERROR(INDEX(품목_기준정보!$B$24:$B$35,MATCH(D51,품목_기준정보!$A$24:$A$35,0)),"미등록 완제품"))</f>
        <v/>
      </c>
      <c r="F51" s="21">
        <f>IF(D51="","",IFERROR(INDEX(품목_기준정보!$C$24:$C$35,MATCH(D51,품목_기준정보!$A$24:$A$35,0)),""))</f>
        <v/>
      </c>
      <c r="G51" s="7" t="n"/>
      <c r="H51" s="7" t="n"/>
      <c r="I51" s="7" t="n"/>
      <c r="J51" s="5" t="n"/>
      <c r="K51" s="17">
        <f>IF(D51="","",IF(OR(G51&lt;0,H51&lt;0,I51&lt;0),"음수 오류",IF(G51&lt;&gt;(H51+I51),"수량불일치 오류",IF(COUNTIF($B$4:$B$100,B51)&gt;1,"중복 전표",IF(ISNA(MATCH(D51,품목_기준정보!$A$24:$A$35,0)),"미등록 완제품","정상")))))</f>
        <v/>
      </c>
      <c r="L51" s="6" t="n"/>
    </row>
    <row r="52">
      <c r="A52" s="5" t="n"/>
      <c r="B52" s="5" t="n"/>
      <c r="C52" s="5" t="n"/>
      <c r="D52" s="5" t="n"/>
      <c r="E52" s="21">
        <f>IF(D52="","",IFERROR(INDEX(품목_기준정보!$B$24:$B$35,MATCH(D52,품목_기준정보!$A$24:$A$35,0)),"미등록 완제품"))</f>
        <v/>
      </c>
      <c r="F52" s="21">
        <f>IF(D52="","",IFERROR(INDEX(품목_기준정보!$C$24:$C$35,MATCH(D52,품목_기준정보!$A$24:$A$35,0)),""))</f>
        <v/>
      </c>
      <c r="G52" s="7" t="n"/>
      <c r="H52" s="7" t="n"/>
      <c r="I52" s="7" t="n"/>
      <c r="J52" s="5" t="n"/>
      <c r="K52" s="17">
        <f>IF(D52="","",IF(OR(G52&lt;0,H52&lt;0,I52&lt;0),"음수 오류",IF(G52&lt;&gt;(H52+I52),"수량불일치 오류",IF(COUNTIF($B$4:$B$100,B52)&gt;1,"중복 전표",IF(ISNA(MATCH(D52,품목_기준정보!$A$24:$A$35,0)),"미등록 완제품","정상")))))</f>
        <v/>
      </c>
      <c r="L52" s="6" t="n"/>
    </row>
    <row r="53">
      <c r="A53" s="5" t="n"/>
      <c r="B53" s="5" t="n"/>
      <c r="C53" s="5" t="n"/>
      <c r="D53" s="5" t="n"/>
      <c r="E53" s="21">
        <f>IF(D53="","",IFERROR(INDEX(품목_기준정보!$B$24:$B$35,MATCH(D53,품목_기준정보!$A$24:$A$35,0)),"미등록 완제품"))</f>
        <v/>
      </c>
      <c r="F53" s="21">
        <f>IF(D53="","",IFERROR(INDEX(품목_기준정보!$C$24:$C$35,MATCH(D53,품목_기준정보!$A$24:$A$35,0)),""))</f>
        <v/>
      </c>
      <c r="G53" s="7" t="n"/>
      <c r="H53" s="7" t="n"/>
      <c r="I53" s="7" t="n"/>
      <c r="J53" s="5" t="n"/>
      <c r="K53" s="17">
        <f>IF(D53="","",IF(OR(G53&lt;0,H53&lt;0,I53&lt;0),"음수 오류",IF(G53&lt;&gt;(H53+I53),"수량불일치 오류",IF(COUNTIF($B$4:$B$100,B53)&gt;1,"중복 전표",IF(ISNA(MATCH(D53,품목_기준정보!$A$24:$A$35,0)),"미등록 완제품","정상")))))</f>
        <v/>
      </c>
      <c r="L53" s="6" t="n"/>
    </row>
    <row r="54">
      <c r="A54" s="5" t="n"/>
      <c r="B54" s="5" t="n"/>
      <c r="C54" s="5" t="n"/>
      <c r="D54" s="5" t="n"/>
      <c r="E54" s="21">
        <f>IF(D54="","",IFERROR(INDEX(품목_기준정보!$B$24:$B$35,MATCH(D54,품목_기준정보!$A$24:$A$35,0)),"미등록 완제품"))</f>
        <v/>
      </c>
      <c r="F54" s="21">
        <f>IF(D54="","",IFERROR(INDEX(품목_기준정보!$C$24:$C$35,MATCH(D54,품목_기준정보!$A$24:$A$35,0)),""))</f>
        <v/>
      </c>
      <c r="G54" s="7" t="n"/>
      <c r="H54" s="7" t="n"/>
      <c r="I54" s="7" t="n"/>
      <c r="J54" s="5" t="n"/>
      <c r="K54" s="17">
        <f>IF(D54="","",IF(OR(G54&lt;0,H54&lt;0,I54&lt;0),"음수 오류",IF(G54&lt;&gt;(H54+I54),"수량불일치 오류",IF(COUNTIF($B$4:$B$100,B54)&gt;1,"중복 전표",IF(ISNA(MATCH(D54,품목_기준정보!$A$24:$A$35,0)),"미등록 완제품","정상")))))</f>
        <v/>
      </c>
      <c r="L54" s="6" t="n"/>
    </row>
    <row r="55">
      <c r="A55" s="5" t="n"/>
      <c r="B55" s="5" t="n"/>
      <c r="C55" s="5" t="n"/>
      <c r="D55" s="5" t="n"/>
      <c r="E55" s="21">
        <f>IF(D55="","",IFERROR(INDEX(품목_기준정보!$B$24:$B$35,MATCH(D55,품목_기준정보!$A$24:$A$35,0)),"미등록 완제품"))</f>
        <v/>
      </c>
      <c r="F55" s="21">
        <f>IF(D55="","",IFERROR(INDEX(품목_기준정보!$C$24:$C$35,MATCH(D55,품목_기준정보!$A$24:$A$35,0)),""))</f>
        <v/>
      </c>
      <c r="G55" s="7" t="n"/>
      <c r="H55" s="7" t="n"/>
      <c r="I55" s="7" t="n"/>
      <c r="J55" s="5" t="n"/>
      <c r="K55" s="17">
        <f>IF(D55="","",IF(OR(G55&lt;0,H55&lt;0,I55&lt;0),"음수 오류",IF(G55&lt;&gt;(H55+I55),"수량불일치 오류",IF(COUNTIF($B$4:$B$100,B55)&gt;1,"중복 전표",IF(ISNA(MATCH(D55,품목_기준정보!$A$24:$A$35,0)),"미등록 완제품","정상")))))</f>
        <v/>
      </c>
      <c r="L55" s="6" t="n"/>
    </row>
    <row r="56">
      <c r="A56" s="5" t="n"/>
      <c r="B56" s="5" t="n"/>
      <c r="C56" s="5" t="n"/>
      <c r="D56" s="5" t="n"/>
      <c r="E56" s="21">
        <f>IF(D56="","",IFERROR(INDEX(품목_기준정보!$B$24:$B$35,MATCH(D56,품목_기준정보!$A$24:$A$35,0)),"미등록 완제품"))</f>
        <v/>
      </c>
      <c r="F56" s="21">
        <f>IF(D56="","",IFERROR(INDEX(품목_기준정보!$C$24:$C$35,MATCH(D56,품목_기준정보!$A$24:$A$35,0)),""))</f>
        <v/>
      </c>
      <c r="G56" s="7" t="n"/>
      <c r="H56" s="7" t="n"/>
      <c r="I56" s="7" t="n"/>
      <c r="J56" s="5" t="n"/>
      <c r="K56" s="17">
        <f>IF(D56="","",IF(OR(G56&lt;0,H56&lt;0,I56&lt;0),"음수 오류",IF(G56&lt;&gt;(H56+I56),"수량불일치 오류",IF(COUNTIF($B$4:$B$100,B56)&gt;1,"중복 전표",IF(ISNA(MATCH(D56,품목_기준정보!$A$24:$A$35,0)),"미등록 완제품","정상")))))</f>
        <v/>
      </c>
      <c r="L56" s="6" t="n"/>
    </row>
    <row r="57">
      <c r="A57" s="5" t="n"/>
      <c r="B57" s="5" t="n"/>
      <c r="C57" s="5" t="n"/>
      <c r="D57" s="5" t="n"/>
      <c r="E57" s="21">
        <f>IF(D57="","",IFERROR(INDEX(품목_기준정보!$B$24:$B$35,MATCH(D57,품목_기준정보!$A$24:$A$35,0)),"미등록 완제품"))</f>
        <v/>
      </c>
      <c r="F57" s="21">
        <f>IF(D57="","",IFERROR(INDEX(품목_기준정보!$C$24:$C$35,MATCH(D57,품목_기준정보!$A$24:$A$35,0)),""))</f>
        <v/>
      </c>
      <c r="G57" s="7" t="n"/>
      <c r="H57" s="7" t="n"/>
      <c r="I57" s="7" t="n"/>
      <c r="J57" s="5" t="n"/>
      <c r="K57" s="17">
        <f>IF(D57="","",IF(OR(G57&lt;0,H57&lt;0,I57&lt;0),"음수 오류",IF(G57&lt;&gt;(H57+I57),"수량불일치 오류",IF(COUNTIF($B$4:$B$100,B57)&gt;1,"중복 전표",IF(ISNA(MATCH(D57,품목_기준정보!$A$24:$A$35,0)),"미등록 완제품","정상")))))</f>
        <v/>
      </c>
      <c r="L57" s="6" t="n"/>
    </row>
    <row r="58">
      <c r="A58" s="5" t="n"/>
      <c r="B58" s="5" t="n"/>
      <c r="C58" s="5" t="n"/>
      <c r="D58" s="5" t="n"/>
      <c r="E58" s="21">
        <f>IF(D58="","",IFERROR(INDEX(품목_기준정보!$B$24:$B$35,MATCH(D58,품목_기준정보!$A$24:$A$35,0)),"미등록 완제품"))</f>
        <v/>
      </c>
      <c r="F58" s="21">
        <f>IF(D58="","",IFERROR(INDEX(품목_기준정보!$C$24:$C$35,MATCH(D58,품목_기준정보!$A$24:$A$35,0)),""))</f>
        <v/>
      </c>
      <c r="G58" s="7" t="n"/>
      <c r="H58" s="7" t="n"/>
      <c r="I58" s="7" t="n"/>
      <c r="J58" s="5" t="n"/>
      <c r="K58" s="17">
        <f>IF(D58="","",IF(OR(G58&lt;0,H58&lt;0,I58&lt;0),"음수 오류",IF(G58&lt;&gt;(H58+I58),"수량불일치 오류",IF(COUNTIF($B$4:$B$100,B58)&gt;1,"중복 전표",IF(ISNA(MATCH(D58,품목_기준정보!$A$24:$A$35,0)),"미등록 완제품","정상")))))</f>
        <v/>
      </c>
      <c r="L58" s="6" t="n"/>
    </row>
    <row r="59">
      <c r="A59" s="5" t="n"/>
      <c r="B59" s="5" t="n"/>
      <c r="C59" s="5" t="n"/>
      <c r="D59" s="5" t="n"/>
      <c r="E59" s="21">
        <f>IF(D59="","",IFERROR(INDEX(품목_기준정보!$B$24:$B$35,MATCH(D59,품목_기준정보!$A$24:$A$35,0)),"미등록 완제품"))</f>
        <v/>
      </c>
      <c r="F59" s="21">
        <f>IF(D59="","",IFERROR(INDEX(품목_기준정보!$C$24:$C$35,MATCH(D59,품목_기준정보!$A$24:$A$35,0)),""))</f>
        <v/>
      </c>
      <c r="G59" s="7" t="n"/>
      <c r="H59" s="7" t="n"/>
      <c r="I59" s="7" t="n"/>
      <c r="J59" s="5" t="n"/>
      <c r="K59" s="17">
        <f>IF(D59="","",IF(OR(G59&lt;0,H59&lt;0,I59&lt;0),"음수 오류",IF(G59&lt;&gt;(H59+I59),"수량불일치 오류",IF(COUNTIF($B$4:$B$100,B59)&gt;1,"중복 전표",IF(ISNA(MATCH(D59,품목_기준정보!$A$24:$A$35,0)),"미등록 완제품","정상")))))</f>
        <v/>
      </c>
      <c r="L59" s="6" t="n"/>
    </row>
    <row r="60">
      <c r="A60" s="5" t="n"/>
      <c r="B60" s="5" t="n"/>
      <c r="C60" s="5" t="n"/>
      <c r="D60" s="5" t="n"/>
      <c r="E60" s="21">
        <f>IF(D60="","",IFERROR(INDEX(품목_기준정보!$B$24:$B$35,MATCH(D60,품목_기준정보!$A$24:$A$35,0)),"미등록 완제품"))</f>
        <v/>
      </c>
      <c r="F60" s="21">
        <f>IF(D60="","",IFERROR(INDEX(품목_기준정보!$C$24:$C$35,MATCH(D60,품목_기준정보!$A$24:$A$35,0)),""))</f>
        <v/>
      </c>
      <c r="G60" s="7" t="n"/>
      <c r="H60" s="7" t="n"/>
      <c r="I60" s="7" t="n"/>
      <c r="J60" s="5" t="n"/>
      <c r="K60" s="17">
        <f>IF(D60="","",IF(OR(G60&lt;0,H60&lt;0,I60&lt;0),"음수 오류",IF(G60&lt;&gt;(H60+I60),"수량불일치 오류",IF(COUNTIF($B$4:$B$100,B60)&gt;1,"중복 전표",IF(ISNA(MATCH(D60,품목_기준정보!$A$24:$A$35,0)),"미등록 완제품","정상")))))</f>
        <v/>
      </c>
      <c r="L60" s="6" t="n"/>
    </row>
    <row r="61">
      <c r="A61" s="5" t="n"/>
      <c r="B61" s="5" t="n"/>
      <c r="C61" s="5" t="n"/>
      <c r="D61" s="5" t="n"/>
      <c r="E61" s="21">
        <f>IF(D61="","",IFERROR(INDEX(품목_기준정보!$B$24:$B$35,MATCH(D61,품목_기준정보!$A$24:$A$35,0)),"미등록 완제품"))</f>
        <v/>
      </c>
      <c r="F61" s="21">
        <f>IF(D61="","",IFERROR(INDEX(품목_기준정보!$C$24:$C$35,MATCH(D61,품목_기준정보!$A$24:$A$35,0)),""))</f>
        <v/>
      </c>
      <c r="G61" s="7" t="n"/>
      <c r="H61" s="7" t="n"/>
      <c r="I61" s="7" t="n"/>
      <c r="J61" s="5" t="n"/>
      <c r="K61" s="17">
        <f>IF(D61="","",IF(OR(G61&lt;0,H61&lt;0,I61&lt;0),"음수 오류",IF(G61&lt;&gt;(H61+I61),"수량불일치 오류",IF(COUNTIF($B$4:$B$100,B61)&gt;1,"중복 전표",IF(ISNA(MATCH(D61,품목_기준정보!$A$24:$A$35,0)),"미등록 완제품","정상")))))</f>
        <v/>
      </c>
      <c r="L61" s="6" t="n"/>
    </row>
    <row r="62">
      <c r="A62" s="5" t="n"/>
      <c r="B62" s="5" t="n"/>
      <c r="C62" s="5" t="n"/>
      <c r="D62" s="5" t="n"/>
      <c r="E62" s="21">
        <f>IF(D62="","",IFERROR(INDEX(품목_기준정보!$B$24:$B$35,MATCH(D62,품목_기준정보!$A$24:$A$35,0)),"미등록 완제품"))</f>
        <v/>
      </c>
      <c r="F62" s="21">
        <f>IF(D62="","",IFERROR(INDEX(품목_기준정보!$C$24:$C$35,MATCH(D62,품목_기준정보!$A$24:$A$35,0)),""))</f>
        <v/>
      </c>
      <c r="G62" s="7" t="n"/>
      <c r="H62" s="7" t="n"/>
      <c r="I62" s="7" t="n"/>
      <c r="J62" s="5" t="n"/>
      <c r="K62" s="17">
        <f>IF(D62="","",IF(OR(G62&lt;0,H62&lt;0,I62&lt;0),"음수 오류",IF(G62&lt;&gt;(H62+I62),"수량불일치 오류",IF(COUNTIF($B$4:$B$100,B62)&gt;1,"중복 전표",IF(ISNA(MATCH(D62,품목_기준정보!$A$24:$A$35,0)),"미등록 완제품","정상")))))</f>
        <v/>
      </c>
      <c r="L62" s="6" t="n"/>
    </row>
    <row r="63">
      <c r="A63" s="5" t="n"/>
      <c r="B63" s="5" t="n"/>
      <c r="C63" s="5" t="n"/>
      <c r="D63" s="5" t="n"/>
      <c r="E63" s="21">
        <f>IF(D63="","",IFERROR(INDEX(품목_기준정보!$B$24:$B$35,MATCH(D63,품목_기준정보!$A$24:$A$35,0)),"미등록 완제품"))</f>
        <v/>
      </c>
      <c r="F63" s="21">
        <f>IF(D63="","",IFERROR(INDEX(품목_기준정보!$C$24:$C$35,MATCH(D63,품목_기준정보!$A$24:$A$35,0)),""))</f>
        <v/>
      </c>
      <c r="G63" s="7" t="n"/>
      <c r="H63" s="7" t="n"/>
      <c r="I63" s="7" t="n"/>
      <c r="J63" s="5" t="n"/>
      <c r="K63" s="17">
        <f>IF(D63="","",IF(OR(G63&lt;0,H63&lt;0,I63&lt;0),"음수 오류",IF(G63&lt;&gt;(H63+I63),"수량불일치 오류",IF(COUNTIF($B$4:$B$100,B63)&gt;1,"중복 전표",IF(ISNA(MATCH(D63,품목_기준정보!$A$24:$A$35,0)),"미등록 완제품","정상")))))</f>
        <v/>
      </c>
      <c r="L63" s="6" t="n"/>
    </row>
    <row r="64">
      <c r="A64" s="5" t="n"/>
      <c r="B64" s="5" t="n"/>
      <c r="C64" s="5" t="n"/>
      <c r="D64" s="5" t="n"/>
      <c r="E64" s="21">
        <f>IF(D64="","",IFERROR(INDEX(품목_기준정보!$B$24:$B$35,MATCH(D64,품목_기준정보!$A$24:$A$35,0)),"미등록 완제품"))</f>
        <v/>
      </c>
      <c r="F64" s="21">
        <f>IF(D64="","",IFERROR(INDEX(품목_기준정보!$C$24:$C$35,MATCH(D64,품목_기준정보!$A$24:$A$35,0)),""))</f>
        <v/>
      </c>
      <c r="G64" s="7" t="n"/>
      <c r="H64" s="7" t="n"/>
      <c r="I64" s="7" t="n"/>
      <c r="J64" s="5" t="n"/>
      <c r="K64" s="17">
        <f>IF(D64="","",IF(OR(G64&lt;0,H64&lt;0,I64&lt;0),"음수 오류",IF(G64&lt;&gt;(H64+I64),"수량불일치 오류",IF(COUNTIF($B$4:$B$100,B64)&gt;1,"중복 전표",IF(ISNA(MATCH(D64,품목_기준정보!$A$24:$A$35,0)),"미등록 완제품","정상")))))</f>
        <v/>
      </c>
      <c r="L64" s="6" t="n"/>
    </row>
    <row r="65">
      <c r="A65" s="5" t="n"/>
      <c r="B65" s="5" t="n"/>
      <c r="C65" s="5" t="n"/>
      <c r="D65" s="5" t="n"/>
      <c r="E65" s="21">
        <f>IF(D65="","",IFERROR(INDEX(품목_기준정보!$B$24:$B$35,MATCH(D65,품목_기준정보!$A$24:$A$35,0)),"미등록 완제품"))</f>
        <v/>
      </c>
      <c r="F65" s="21">
        <f>IF(D65="","",IFERROR(INDEX(품목_기준정보!$C$24:$C$35,MATCH(D65,품목_기준정보!$A$24:$A$35,0)),""))</f>
        <v/>
      </c>
      <c r="G65" s="7" t="n"/>
      <c r="H65" s="7" t="n"/>
      <c r="I65" s="7" t="n"/>
      <c r="J65" s="5" t="n"/>
      <c r="K65" s="17">
        <f>IF(D65="","",IF(OR(G65&lt;0,H65&lt;0,I65&lt;0),"음수 오류",IF(G65&lt;&gt;(H65+I65),"수량불일치 오류",IF(COUNTIF($B$4:$B$100,B65)&gt;1,"중복 전표",IF(ISNA(MATCH(D65,품목_기준정보!$A$24:$A$35,0)),"미등록 완제품","정상")))))</f>
        <v/>
      </c>
      <c r="L65" s="6" t="n"/>
    </row>
    <row r="66">
      <c r="A66" s="5" t="n"/>
      <c r="B66" s="5" t="n"/>
      <c r="C66" s="5" t="n"/>
      <c r="D66" s="5" t="n"/>
      <c r="E66" s="21">
        <f>IF(D66="","",IFERROR(INDEX(품목_기준정보!$B$24:$B$35,MATCH(D66,품목_기준정보!$A$24:$A$35,0)),"미등록 완제품"))</f>
        <v/>
      </c>
      <c r="F66" s="21">
        <f>IF(D66="","",IFERROR(INDEX(품목_기준정보!$C$24:$C$35,MATCH(D66,품목_기준정보!$A$24:$A$35,0)),""))</f>
        <v/>
      </c>
      <c r="G66" s="7" t="n"/>
      <c r="H66" s="7" t="n"/>
      <c r="I66" s="7" t="n"/>
      <c r="J66" s="5" t="n"/>
      <c r="K66" s="17">
        <f>IF(D66="","",IF(OR(G66&lt;0,H66&lt;0,I66&lt;0),"음수 오류",IF(G66&lt;&gt;(H66+I66),"수량불일치 오류",IF(COUNTIF($B$4:$B$100,B66)&gt;1,"중복 전표",IF(ISNA(MATCH(D66,품목_기준정보!$A$24:$A$35,0)),"미등록 완제품","정상")))))</f>
        <v/>
      </c>
      <c r="L66" s="6" t="n"/>
    </row>
    <row r="67">
      <c r="A67" s="5" t="n"/>
      <c r="B67" s="5" t="n"/>
      <c r="C67" s="5" t="n"/>
      <c r="D67" s="5" t="n"/>
      <c r="E67" s="21">
        <f>IF(D67="","",IFERROR(INDEX(품목_기준정보!$B$24:$B$35,MATCH(D67,품목_기준정보!$A$24:$A$35,0)),"미등록 완제품"))</f>
        <v/>
      </c>
      <c r="F67" s="21">
        <f>IF(D67="","",IFERROR(INDEX(품목_기준정보!$C$24:$C$35,MATCH(D67,품목_기준정보!$A$24:$A$35,0)),""))</f>
        <v/>
      </c>
      <c r="G67" s="7" t="n"/>
      <c r="H67" s="7" t="n"/>
      <c r="I67" s="7" t="n"/>
      <c r="J67" s="5" t="n"/>
      <c r="K67" s="17">
        <f>IF(D67="","",IF(OR(G67&lt;0,H67&lt;0,I67&lt;0),"음수 오류",IF(G67&lt;&gt;(H67+I67),"수량불일치 오류",IF(COUNTIF($B$4:$B$100,B67)&gt;1,"중복 전표",IF(ISNA(MATCH(D67,품목_기준정보!$A$24:$A$35,0)),"미등록 완제품","정상")))))</f>
        <v/>
      </c>
      <c r="L67" s="6" t="n"/>
    </row>
    <row r="68">
      <c r="A68" s="5" t="n"/>
      <c r="B68" s="5" t="n"/>
      <c r="C68" s="5" t="n"/>
      <c r="D68" s="5" t="n"/>
      <c r="E68" s="21">
        <f>IF(D68="","",IFERROR(INDEX(품목_기준정보!$B$24:$B$35,MATCH(D68,품목_기준정보!$A$24:$A$35,0)),"미등록 완제품"))</f>
        <v/>
      </c>
      <c r="F68" s="21">
        <f>IF(D68="","",IFERROR(INDEX(품목_기준정보!$C$24:$C$35,MATCH(D68,품목_기준정보!$A$24:$A$35,0)),""))</f>
        <v/>
      </c>
      <c r="G68" s="7" t="n"/>
      <c r="H68" s="7" t="n"/>
      <c r="I68" s="7" t="n"/>
      <c r="J68" s="5" t="n"/>
      <c r="K68" s="17">
        <f>IF(D68="","",IF(OR(G68&lt;0,H68&lt;0,I68&lt;0),"음수 오류",IF(G68&lt;&gt;(H68+I68),"수량불일치 오류",IF(COUNTIF($B$4:$B$100,B68)&gt;1,"중복 전표",IF(ISNA(MATCH(D68,품목_기준정보!$A$24:$A$35,0)),"미등록 완제품","정상")))))</f>
        <v/>
      </c>
      <c r="L68" s="6" t="n"/>
    </row>
    <row r="69">
      <c r="A69" s="5" t="n"/>
      <c r="B69" s="5" t="n"/>
      <c r="C69" s="5" t="n"/>
      <c r="D69" s="5" t="n"/>
      <c r="E69" s="21">
        <f>IF(D69="","",IFERROR(INDEX(품목_기준정보!$B$24:$B$35,MATCH(D69,품목_기준정보!$A$24:$A$35,0)),"미등록 완제품"))</f>
        <v/>
      </c>
      <c r="F69" s="21">
        <f>IF(D69="","",IFERROR(INDEX(품목_기준정보!$C$24:$C$35,MATCH(D69,품목_기준정보!$A$24:$A$35,0)),""))</f>
        <v/>
      </c>
      <c r="G69" s="7" t="n"/>
      <c r="H69" s="7" t="n"/>
      <c r="I69" s="7" t="n"/>
      <c r="J69" s="5" t="n"/>
      <c r="K69" s="17">
        <f>IF(D69="","",IF(OR(G69&lt;0,H69&lt;0,I69&lt;0),"음수 오류",IF(G69&lt;&gt;(H69+I69),"수량불일치 오류",IF(COUNTIF($B$4:$B$100,B69)&gt;1,"중복 전표",IF(ISNA(MATCH(D69,품목_기준정보!$A$24:$A$35,0)),"미등록 완제품","정상")))))</f>
        <v/>
      </c>
      <c r="L69" s="6" t="n"/>
    </row>
    <row r="70">
      <c r="A70" s="5" t="n"/>
      <c r="B70" s="5" t="n"/>
      <c r="C70" s="5" t="n"/>
      <c r="D70" s="5" t="n"/>
      <c r="E70" s="21">
        <f>IF(D70="","",IFERROR(INDEX(품목_기준정보!$B$24:$B$35,MATCH(D70,품목_기준정보!$A$24:$A$35,0)),"미등록 완제품"))</f>
        <v/>
      </c>
      <c r="F70" s="21">
        <f>IF(D70="","",IFERROR(INDEX(품목_기준정보!$C$24:$C$35,MATCH(D70,품목_기준정보!$A$24:$A$35,0)),""))</f>
        <v/>
      </c>
      <c r="G70" s="7" t="n"/>
      <c r="H70" s="7" t="n"/>
      <c r="I70" s="7" t="n"/>
      <c r="J70" s="5" t="n"/>
      <c r="K70" s="17">
        <f>IF(D70="","",IF(OR(G70&lt;0,H70&lt;0,I70&lt;0),"음수 오류",IF(G70&lt;&gt;(H70+I70),"수량불일치 오류",IF(COUNTIF($B$4:$B$100,B70)&gt;1,"중복 전표",IF(ISNA(MATCH(D70,품목_기준정보!$A$24:$A$35,0)),"미등록 완제품","정상")))))</f>
        <v/>
      </c>
      <c r="L70" s="6" t="n"/>
    </row>
    <row r="71">
      <c r="A71" s="5" t="n"/>
      <c r="B71" s="5" t="n"/>
      <c r="C71" s="5" t="n"/>
      <c r="D71" s="5" t="n"/>
      <c r="E71" s="21">
        <f>IF(D71="","",IFERROR(INDEX(품목_기준정보!$B$24:$B$35,MATCH(D71,품목_기준정보!$A$24:$A$35,0)),"미등록 완제품"))</f>
        <v/>
      </c>
      <c r="F71" s="21">
        <f>IF(D71="","",IFERROR(INDEX(품목_기준정보!$C$24:$C$35,MATCH(D71,품목_기준정보!$A$24:$A$35,0)),""))</f>
        <v/>
      </c>
      <c r="G71" s="7" t="n"/>
      <c r="H71" s="7" t="n"/>
      <c r="I71" s="7" t="n"/>
      <c r="J71" s="5" t="n"/>
      <c r="K71" s="17">
        <f>IF(D71="","",IF(OR(G71&lt;0,H71&lt;0,I71&lt;0),"음수 오류",IF(G71&lt;&gt;(H71+I71),"수량불일치 오류",IF(COUNTIF($B$4:$B$100,B71)&gt;1,"중복 전표",IF(ISNA(MATCH(D71,품목_기준정보!$A$24:$A$35,0)),"미등록 완제품","정상")))))</f>
        <v/>
      </c>
      <c r="L71" s="6" t="n"/>
    </row>
    <row r="72">
      <c r="A72" s="5" t="n"/>
      <c r="B72" s="5" t="n"/>
      <c r="C72" s="5" t="n"/>
      <c r="D72" s="5" t="n"/>
      <c r="E72" s="21">
        <f>IF(D72="","",IFERROR(INDEX(품목_기준정보!$B$24:$B$35,MATCH(D72,품목_기준정보!$A$24:$A$35,0)),"미등록 완제품"))</f>
        <v/>
      </c>
      <c r="F72" s="21">
        <f>IF(D72="","",IFERROR(INDEX(품목_기준정보!$C$24:$C$35,MATCH(D72,품목_기준정보!$A$24:$A$35,0)),""))</f>
        <v/>
      </c>
      <c r="G72" s="7" t="n"/>
      <c r="H72" s="7" t="n"/>
      <c r="I72" s="7" t="n"/>
      <c r="J72" s="5" t="n"/>
      <c r="K72" s="17">
        <f>IF(D72="","",IF(OR(G72&lt;0,H72&lt;0,I72&lt;0),"음수 오류",IF(G72&lt;&gt;(H72+I72),"수량불일치 오류",IF(COUNTIF($B$4:$B$100,B72)&gt;1,"중복 전표",IF(ISNA(MATCH(D72,품목_기준정보!$A$24:$A$35,0)),"미등록 완제품","정상")))))</f>
        <v/>
      </c>
      <c r="L72" s="6" t="n"/>
    </row>
    <row r="73">
      <c r="A73" s="5" t="n"/>
      <c r="B73" s="5" t="n"/>
      <c r="C73" s="5" t="n"/>
      <c r="D73" s="5" t="n"/>
      <c r="E73" s="21">
        <f>IF(D73="","",IFERROR(INDEX(품목_기준정보!$B$24:$B$35,MATCH(D73,품목_기준정보!$A$24:$A$35,0)),"미등록 완제품"))</f>
        <v/>
      </c>
      <c r="F73" s="21">
        <f>IF(D73="","",IFERROR(INDEX(품목_기준정보!$C$24:$C$35,MATCH(D73,품목_기준정보!$A$24:$A$35,0)),""))</f>
        <v/>
      </c>
      <c r="G73" s="7" t="n"/>
      <c r="H73" s="7" t="n"/>
      <c r="I73" s="7" t="n"/>
      <c r="J73" s="5" t="n"/>
      <c r="K73" s="17">
        <f>IF(D73="","",IF(OR(G73&lt;0,H73&lt;0,I73&lt;0),"음수 오류",IF(G73&lt;&gt;(H73+I73),"수량불일치 오류",IF(COUNTIF($B$4:$B$100,B73)&gt;1,"중복 전표",IF(ISNA(MATCH(D73,품목_기준정보!$A$24:$A$35,0)),"미등록 완제품","정상")))))</f>
        <v/>
      </c>
      <c r="L73" s="6" t="n"/>
    </row>
    <row r="74">
      <c r="A74" s="5" t="n"/>
      <c r="B74" s="5" t="n"/>
      <c r="C74" s="5" t="n"/>
      <c r="D74" s="5" t="n"/>
      <c r="E74" s="21">
        <f>IF(D74="","",IFERROR(INDEX(품목_기준정보!$B$24:$B$35,MATCH(D74,품목_기준정보!$A$24:$A$35,0)),"미등록 완제품"))</f>
        <v/>
      </c>
      <c r="F74" s="21">
        <f>IF(D74="","",IFERROR(INDEX(품목_기준정보!$C$24:$C$35,MATCH(D74,품목_기준정보!$A$24:$A$35,0)),""))</f>
        <v/>
      </c>
      <c r="G74" s="7" t="n"/>
      <c r="H74" s="7" t="n"/>
      <c r="I74" s="7" t="n"/>
      <c r="J74" s="5" t="n"/>
      <c r="K74" s="17">
        <f>IF(D74="","",IF(OR(G74&lt;0,H74&lt;0,I74&lt;0),"음수 오류",IF(G74&lt;&gt;(H74+I74),"수량불일치 오류",IF(COUNTIF($B$4:$B$100,B74)&gt;1,"중복 전표",IF(ISNA(MATCH(D74,품목_기준정보!$A$24:$A$35,0)),"미등록 완제품","정상")))))</f>
        <v/>
      </c>
      <c r="L74" s="6" t="n"/>
    </row>
    <row r="75">
      <c r="A75" s="5" t="n"/>
      <c r="B75" s="5" t="n"/>
      <c r="C75" s="5" t="n"/>
      <c r="D75" s="5" t="n"/>
      <c r="E75" s="21">
        <f>IF(D75="","",IFERROR(INDEX(품목_기준정보!$B$24:$B$35,MATCH(D75,품목_기준정보!$A$24:$A$35,0)),"미등록 완제품"))</f>
        <v/>
      </c>
      <c r="F75" s="21">
        <f>IF(D75="","",IFERROR(INDEX(품목_기준정보!$C$24:$C$35,MATCH(D75,품목_기준정보!$A$24:$A$35,0)),""))</f>
        <v/>
      </c>
      <c r="G75" s="7" t="n"/>
      <c r="H75" s="7" t="n"/>
      <c r="I75" s="7" t="n"/>
      <c r="J75" s="5" t="n"/>
      <c r="K75" s="17">
        <f>IF(D75="","",IF(OR(G75&lt;0,H75&lt;0,I75&lt;0),"음수 오류",IF(G75&lt;&gt;(H75+I75),"수량불일치 오류",IF(COUNTIF($B$4:$B$100,B75)&gt;1,"중복 전표",IF(ISNA(MATCH(D75,품목_기준정보!$A$24:$A$35,0)),"미등록 완제품","정상")))))</f>
        <v/>
      </c>
      <c r="L75" s="6" t="n"/>
    </row>
    <row r="76">
      <c r="A76" s="5" t="n"/>
      <c r="B76" s="5" t="n"/>
      <c r="C76" s="5" t="n"/>
      <c r="D76" s="5" t="n"/>
      <c r="E76" s="21">
        <f>IF(D76="","",IFERROR(INDEX(품목_기준정보!$B$24:$B$35,MATCH(D76,품목_기준정보!$A$24:$A$35,0)),"미등록 완제품"))</f>
        <v/>
      </c>
      <c r="F76" s="21">
        <f>IF(D76="","",IFERROR(INDEX(품목_기준정보!$C$24:$C$35,MATCH(D76,품목_기준정보!$A$24:$A$35,0)),""))</f>
        <v/>
      </c>
      <c r="G76" s="7" t="n"/>
      <c r="H76" s="7" t="n"/>
      <c r="I76" s="7" t="n"/>
      <c r="J76" s="5" t="n"/>
      <c r="K76" s="17">
        <f>IF(D76="","",IF(OR(G76&lt;0,H76&lt;0,I76&lt;0),"음수 오류",IF(G76&lt;&gt;(H76+I76),"수량불일치 오류",IF(COUNTIF($B$4:$B$100,B76)&gt;1,"중복 전표",IF(ISNA(MATCH(D76,품목_기준정보!$A$24:$A$35,0)),"미등록 완제품","정상")))))</f>
        <v/>
      </c>
      <c r="L76" s="6" t="n"/>
    </row>
    <row r="77">
      <c r="A77" s="5" t="n"/>
      <c r="B77" s="5" t="n"/>
      <c r="C77" s="5" t="n"/>
      <c r="D77" s="5" t="n"/>
      <c r="E77" s="21">
        <f>IF(D77="","",IFERROR(INDEX(품목_기준정보!$B$24:$B$35,MATCH(D77,품목_기준정보!$A$24:$A$35,0)),"미등록 완제품"))</f>
        <v/>
      </c>
      <c r="F77" s="21">
        <f>IF(D77="","",IFERROR(INDEX(품목_기준정보!$C$24:$C$35,MATCH(D77,품목_기준정보!$A$24:$A$35,0)),""))</f>
        <v/>
      </c>
      <c r="G77" s="7" t="n"/>
      <c r="H77" s="7" t="n"/>
      <c r="I77" s="7" t="n"/>
      <c r="J77" s="5" t="n"/>
      <c r="K77" s="17">
        <f>IF(D77="","",IF(OR(G77&lt;0,H77&lt;0,I77&lt;0),"음수 오류",IF(G77&lt;&gt;(H77+I77),"수량불일치 오류",IF(COUNTIF($B$4:$B$100,B77)&gt;1,"중복 전표",IF(ISNA(MATCH(D77,품목_기준정보!$A$24:$A$35,0)),"미등록 완제품","정상")))))</f>
        <v/>
      </c>
      <c r="L77" s="6" t="n"/>
    </row>
    <row r="78">
      <c r="A78" s="5" t="n"/>
      <c r="B78" s="5" t="n"/>
      <c r="C78" s="5" t="n"/>
      <c r="D78" s="5" t="n"/>
      <c r="E78" s="21">
        <f>IF(D78="","",IFERROR(INDEX(품목_기준정보!$B$24:$B$35,MATCH(D78,품목_기준정보!$A$24:$A$35,0)),"미등록 완제품"))</f>
        <v/>
      </c>
      <c r="F78" s="21">
        <f>IF(D78="","",IFERROR(INDEX(품목_기준정보!$C$24:$C$35,MATCH(D78,품목_기준정보!$A$24:$A$35,0)),""))</f>
        <v/>
      </c>
      <c r="G78" s="7" t="n"/>
      <c r="H78" s="7" t="n"/>
      <c r="I78" s="7" t="n"/>
      <c r="J78" s="5" t="n"/>
      <c r="K78" s="17">
        <f>IF(D78="","",IF(OR(G78&lt;0,H78&lt;0,I78&lt;0),"음수 오류",IF(G78&lt;&gt;(H78+I78),"수량불일치 오류",IF(COUNTIF($B$4:$B$100,B78)&gt;1,"중복 전표",IF(ISNA(MATCH(D78,품목_기준정보!$A$24:$A$35,0)),"미등록 완제품","정상")))))</f>
        <v/>
      </c>
      <c r="L78" s="6" t="n"/>
    </row>
    <row r="79">
      <c r="A79" s="5" t="n"/>
      <c r="B79" s="5" t="n"/>
      <c r="C79" s="5" t="n"/>
      <c r="D79" s="5" t="n"/>
      <c r="E79" s="21">
        <f>IF(D79="","",IFERROR(INDEX(품목_기준정보!$B$24:$B$35,MATCH(D79,품목_기준정보!$A$24:$A$35,0)),"미등록 완제품"))</f>
        <v/>
      </c>
      <c r="F79" s="21">
        <f>IF(D79="","",IFERROR(INDEX(품목_기준정보!$C$24:$C$35,MATCH(D79,품목_기준정보!$A$24:$A$35,0)),""))</f>
        <v/>
      </c>
      <c r="G79" s="7" t="n"/>
      <c r="H79" s="7" t="n"/>
      <c r="I79" s="7" t="n"/>
      <c r="J79" s="5" t="n"/>
      <c r="K79" s="17">
        <f>IF(D79="","",IF(OR(G79&lt;0,H79&lt;0,I79&lt;0),"음수 오류",IF(G79&lt;&gt;(H79+I79),"수량불일치 오류",IF(COUNTIF($B$4:$B$100,B79)&gt;1,"중복 전표",IF(ISNA(MATCH(D79,품목_기준정보!$A$24:$A$35,0)),"미등록 완제품","정상")))))</f>
        <v/>
      </c>
      <c r="L79" s="6" t="n"/>
    </row>
    <row r="80">
      <c r="A80" s="5" t="n"/>
      <c r="B80" s="5" t="n"/>
      <c r="C80" s="5" t="n"/>
      <c r="D80" s="5" t="n"/>
      <c r="E80" s="21">
        <f>IF(D80="","",IFERROR(INDEX(품목_기준정보!$B$24:$B$35,MATCH(D80,품목_기준정보!$A$24:$A$35,0)),"미등록 완제품"))</f>
        <v/>
      </c>
      <c r="F80" s="21">
        <f>IF(D80="","",IFERROR(INDEX(품목_기준정보!$C$24:$C$35,MATCH(D80,품목_기준정보!$A$24:$A$35,0)),""))</f>
        <v/>
      </c>
      <c r="G80" s="7" t="n"/>
      <c r="H80" s="7" t="n"/>
      <c r="I80" s="7" t="n"/>
      <c r="J80" s="5" t="n"/>
      <c r="K80" s="17">
        <f>IF(D80="","",IF(OR(G80&lt;0,H80&lt;0,I80&lt;0),"음수 오류",IF(G80&lt;&gt;(H80+I80),"수량불일치 오류",IF(COUNTIF($B$4:$B$100,B80)&gt;1,"중복 전표",IF(ISNA(MATCH(D80,품목_기준정보!$A$24:$A$35,0)),"미등록 완제품","정상")))))</f>
        <v/>
      </c>
      <c r="L80" s="6" t="n"/>
    </row>
    <row r="81">
      <c r="A81" s="5" t="n"/>
      <c r="B81" s="5" t="n"/>
      <c r="C81" s="5" t="n"/>
      <c r="D81" s="5" t="n"/>
      <c r="E81" s="21">
        <f>IF(D81="","",IFERROR(INDEX(품목_기준정보!$B$24:$B$35,MATCH(D81,품목_기준정보!$A$24:$A$35,0)),"미등록 완제품"))</f>
        <v/>
      </c>
      <c r="F81" s="21">
        <f>IF(D81="","",IFERROR(INDEX(품목_기준정보!$C$24:$C$35,MATCH(D81,품목_기준정보!$A$24:$A$35,0)),""))</f>
        <v/>
      </c>
      <c r="G81" s="7" t="n"/>
      <c r="H81" s="7" t="n"/>
      <c r="I81" s="7" t="n"/>
      <c r="J81" s="5" t="n"/>
      <c r="K81" s="17">
        <f>IF(D81="","",IF(OR(G81&lt;0,H81&lt;0,I81&lt;0),"음수 오류",IF(G81&lt;&gt;(H81+I81),"수량불일치 오류",IF(COUNTIF($B$4:$B$100,B81)&gt;1,"중복 전표",IF(ISNA(MATCH(D81,품목_기준정보!$A$24:$A$35,0)),"미등록 완제품","정상")))))</f>
        <v/>
      </c>
      <c r="L81" s="6" t="n"/>
    </row>
    <row r="82">
      <c r="A82" s="5" t="n"/>
      <c r="B82" s="5" t="n"/>
      <c r="C82" s="5" t="n"/>
      <c r="D82" s="5" t="n"/>
      <c r="E82" s="21">
        <f>IF(D82="","",IFERROR(INDEX(품목_기준정보!$B$24:$B$35,MATCH(D82,품목_기준정보!$A$24:$A$35,0)),"미등록 완제품"))</f>
        <v/>
      </c>
      <c r="F82" s="21">
        <f>IF(D82="","",IFERROR(INDEX(품목_기준정보!$C$24:$C$35,MATCH(D82,품목_기준정보!$A$24:$A$35,0)),""))</f>
        <v/>
      </c>
      <c r="G82" s="7" t="n"/>
      <c r="H82" s="7" t="n"/>
      <c r="I82" s="7" t="n"/>
      <c r="J82" s="5" t="n"/>
      <c r="K82" s="17">
        <f>IF(D82="","",IF(OR(G82&lt;0,H82&lt;0,I82&lt;0),"음수 오류",IF(G82&lt;&gt;(H82+I82),"수량불일치 오류",IF(COUNTIF($B$4:$B$100,B82)&gt;1,"중복 전표",IF(ISNA(MATCH(D82,품목_기준정보!$A$24:$A$35,0)),"미등록 완제품","정상")))))</f>
        <v/>
      </c>
      <c r="L82" s="6" t="n"/>
    </row>
    <row r="83">
      <c r="A83" s="5" t="n"/>
      <c r="B83" s="5" t="n"/>
      <c r="C83" s="5" t="n"/>
      <c r="D83" s="5" t="n"/>
      <c r="E83" s="21">
        <f>IF(D83="","",IFERROR(INDEX(품목_기준정보!$B$24:$B$35,MATCH(D83,품목_기준정보!$A$24:$A$35,0)),"미등록 완제품"))</f>
        <v/>
      </c>
      <c r="F83" s="21">
        <f>IF(D83="","",IFERROR(INDEX(품목_기준정보!$C$24:$C$35,MATCH(D83,품목_기준정보!$A$24:$A$35,0)),""))</f>
        <v/>
      </c>
      <c r="G83" s="7" t="n"/>
      <c r="H83" s="7" t="n"/>
      <c r="I83" s="7" t="n"/>
      <c r="J83" s="5" t="n"/>
      <c r="K83" s="17">
        <f>IF(D83="","",IF(OR(G83&lt;0,H83&lt;0,I83&lt;0),"음수 오류",IF(G83&lt;&gt;(H83+I83),"수량불일치 오류",IF(COUNTIF($B$4:$B$100,B83)&gt;1,"중복 전표",IF(ISNA(MATCH(D83,품목_기준정보!$A$24:$A$35,0)),"미등록 완제품","정상")))))</f>
        <v/>
      </c>
      <c r="L83" s="6" t="n"/>
    </row>
    <row r="84">
      <c r="A84" s="5" t="n"/>
      <c r="B84" s="5" t="n"/>
      <c r="C84" s="5" t="n"/>
      <c r="D84" s="5" t="n"/>
      <c r="E84" s="21">
        <f>IF(D84="","",IFERROR(INDEX(품목_기준정보!$B$24:$B$35,MATCH(D84,품목_기준정보!$A$24:$A$35,0)),"미등록 완제품"))</f>
        <v/>
      </c>
      <c r="F84" s="21">
        <f>IF(D84="","",IFERROR(INDEX(품목_기준정보!$C$24:$C$35,MATCH(D84,품목_기준정보!$A$24:$A$35,0)),""))</f>
        <v/>
      </c>
      <c r="G84" s="7" t="n"/>
      <c r="H84" s="7" t="n"/>
      <c r="I84" s="7" t="n"/>
      <c r="J84" s="5" t="n"/>
      <c r="K84" s="17">
        <f>IF(D84="","",IF(OR(G84&lt;0,H84&lt;0,I84&lt;0),"음수 오류",IF(G84&lt;&gt;(H84+I84),"수량불일치 오류",IF(COUNTIF($B$4:$B$100,B84)&gt;1,"중복 전표",IF(ISNA(MATCH(D84,품목_기준정보!$A$24:$A$35,0)),"미등록 완제품","정상")))))</f>
        <v/>
      </c>
      <c r="L84" s="6" t="n"/>
    </row>
    <row r="85">
      <c r="A85" s="5" t="n"/>
      <c r="B85" s="5" t="n"/>
      <c r="C85" s="5" t="n"/>
      <c r="D85" s="5" t="n"/>
      <c r="E85" s="21">
        <f>IF(D85="","",IFERROR(INDEX(품목_기준정보!$B$24:$B$35,MATCH(D85,품목_기준정보!$A$24:$A$35,0)),"미등록 완제품"))</f>
        <v/>
      </c>
      <c r="F85" s="21">
        <f>IF(D85="","",IFERROR(INDEX(품목_기준정보!$C$24:$C$35,MATCH(D85,품목_기준정보!$A$24:$A$35,0)),""))</f>
        <v/>
      </c>
      <c r="G85" s="7" t="n"/>
      <c r="H85" s="7" t="n"/>
      <c r="I85" s="7" t="n"/>
      <c r="J85" s="5" t="n"/>
      <c r="K85" s="17">
        <f>IF(D85="","",IF(OR(G85&lt;0,H85&lt;0,I85&lt;0),"음수 오류",IF(G85&lt;&gt;(H85+I85),"수량불일치 오류",IF(COUNTIF($B$4:$B$100,B85)&gt;1,"중복 전표",IF(ISNA(MATCH(D85,품목_기준정보!$A$24:$A$35,0)),"미등록 완제품","정상")))))</f>
        <v/>
      </c>
      <c r="L85" s="6" t="n"/>
    </row>
    <row r="86">
      <c r="A86" s="5" t="n"/>
      <c r="B86" s="5" t="n"/>
      <c r="C86" s="5" t="n"/>
      <c r="D86" s="5" t="n"/>
      <c r="E86" s="21">
        <f>IF(D86="","",IFERROR(INDEX(품목_기준정보!$B$24:$B$35,MATCH(D86,품목_기준정보!$A$24:$A$35,0)),"미등록 완제품"))</f>
        <v/>
      </c>
      <c r="F86" s="21">
        <f>IF(D86="","",IFERROR(INDEX(품목_기준정보!$C$24:$C$35,MATCH(D86,품목_기준정보!$A$24:$A$35,0)),""))</f>
        <v/>
      </c>
      <c r="G86" s="7" t="n"/>
      <c r="H86" s="7" t="n"/>
      <c r="I86" s="7" t="n"/>
      <c r="J86" s="5" t="n"/>
      <c r="K86" s="17">
        <f>IF(D86="","",IF(OR(G86&lt;0,H86&lt;0,I86&lt;0),"음수 오류",IF(G86&lt;&gt;(H86+I86),"수량불일치 오류",IF(COUNTIF($B$4:$B$100,B86)&gt;1,"중복 전표",IF(ISNA(MATCH(D86,품목_기준정보!$A$24:$A$35,0)),"미등록 완제품","정상")))))</f>
        <v/>
      </c>
      <c r="L86" s="6" t="n"/>
    </row>
    <row r="87">
      <c r="A87" s="5" t="n"/>
      <c r="B87" s="5" t="n"/>
      <c r="C87" s="5" t="n"/>
      <c r="D87" s="5" t="n"/>
      <c r="E87" s="21">
        <f>IF(D87="","",IFERROR(INDEX(품목_기준정보!$B$24:$B$35,MATCH(D87,품목_기준정보!$A$24:$A$35,0)),"미등록 완제품"))</f>
        <v/>
      </c>
      <c r="F87" s="21">
        <f>IF(D87="","",IFERROR(INDEX(품목_기준정보!$C$24:$C$35,MATCH(D87,품목_기준정보!$A$24:$A$35,0)),""))</f>
        <v/>
      </c>
      <c r="G87" s="7" t="n"/>
      <c r="H87" s="7" t="n"/>
      <c r="I87" s="7" t="n"/>
      <c r="J87" s="5" t="n"/>
      <c r="K87" s="17">
        <f>IF(D87="","",IF(OR(G87&lt;0,H87&lt;0,I87&lt;0),"음수 오류",IF(G87&lt;&gt;(H87+I87),"수량불일치 오류",IF(COUNTIF($B$4:$B$100,B87)&gt;1,"중복 전표",IF(ISNA(MATCH(D87,품목_기준정보!$A$24:$A$35,0)),"미등록 완제품","정상")))))</f>
        <v/>
      </c>
      <c r="L87" s="6" t="n"/>
    </row>
    <row r="88">
      <c r="A88" s="5" t="n"/>
      <c r="B88" s="5" t="n"/>
      <c r="C88" s="5" t="n"/>
      <c r="D88" s="5" t="n"/>
      <c r="E88" s="21">
        <f>IF(D88="","",IFERROR(INDEX(품목_기준정보!$B$24:$B$35,MATCH(D88,품목_기준정보!$A$24:$A$35,0)),"미등록 완제품"))</f>
        <v/>
      </c>
      <c r="F88" s="21">
        <f>IF(D88="","",IFERROR(INDEX(품목_기준정보!$C$24:$C$35,MATCH(D88,품목_기준정보!$A$24:$A$35,0)),""))</f>
        <v/>
      </c>
      <c r="G88" s="7" t="n"/>
      <c r="H88" s="7" t="n"/>
      <c r="I88" s="7" t="n"/>
      <c r="J88" s="5" t="n"/>
      <c r="K88" s="17">
        <f>IF(D88="","",IF(OR(G88&lt;0,H88&lt;0,I88&lt;0),"음수 오류",IF(G88&lt;&gt;(H88+I88),"수량불일치 오류",IF(COUNTIF($B$4:$B$100,B88)&gt;1,"중복 전표",IF(ISNA(MATCH(D88,품목_기준정보!$A$24:$A$35,0)),"미등록 완제품","정상")))))</f>
        <v/>
      </c>
      <c r="L88" s="6" t="n"/>
    </row>
    <row r="89">
      <c r="A89" s="5" t="n"/>
      <c r="B89" s="5" t="n"/>
      <c r="C89" s="5" t="n"/>
      <c r="D89" s="5" t="n"/>
      <c r="E89" s="21">
        <f>IF(D89="","",IFERROR(INDEX(품목_기준정보!$B$24:$B$35,MATCH(D89,품목_기준정보!$A$24:$A$35,0)),"미등록 완제품"))</f>
        <v/>
      </c>
      <c r="F89" s="21">
        <f>IF(D89="","",IFERROR(INDEX(품목_기준정보!$C$24:$C$35,MATCH(D89,품목_기준정보!$A$24:$A$35,0)),""))</f>
        <v/>
      </c>
      <c r="G89" s="7" t="n"/>
      <c r="H89" s="7" t="n"/>
      <c r="I89" s="7" t="n"/>
      <c r="J89" s="5" t="n"/>
      <c r="K89" s="17">
        <f>IF(D89="","",IF(OR(G89&lt;0,H89&lt;0,I89&lt;0),"음수 오류",IF(G89&lt;&gt;(H89+I89),"수량불일치 오류",IF(COUNTIF($B$4:$B$100,B89)&gt;1,"중복 전표",IF(ISNA(MATCH(D89,품목_기준정보!$A$24:$A$35,0)),"미등록 완제품","정상")))))</f>
        <v/>
      </c>
      <c r="L89" s="6" t="n"/>
    </row>
    <row r="90">
      <c r="A90" s="5" t="n"/>
      <c r="B90" s="5" t="n"/>
      <c r="C90" s="5" t="n"/>
      <c r="D90" s="5" t="n"/>
      <c r="E90" s="21">
        <f>IF(D90="","",IFERROR(INDEX(품목_기준정보!$B$24:$B$35,MATCH(D90,품목_기준정보!$A$24:$A$35,0)),"미등록 완제품"))</f>
        <v/>
      </c>
      <c r="F90" s="21">
        <f>IF(D90="","",IFERROR(INDEX(품목_기준정보!$C$24:$C$35,MATCH(D90,품목_기준정보!$A$24:$A$35,0)),""))</f>
        <v/>
      </c>
      <c r="G90" s="7" t="n"/>
      <c r="H90" s="7" t="n"/>
      <c r="I90" s="7" t="n"/>
      <c r="J90" s="5" t="n"/>
      <c r="K90" s="17">
        <f>IF(D90="","",IF(OR(G90&lt;0,H90&lt;0,I90&lt;0),"음수 오류",IF(G90&lt;&gt;(H90+I90),"수량불일치 오류",IF(COUNTIF($B$4:$B$100,B90)&gt;1,"중복 전표",IF(ISNA(MATCH(D90,품목_기준정보!$A$24:$A$35,0)),"미등록 완제품","정상")))))</f>
        <v/>
      </c>
      <c r="L90" s="6" t="n"/>
    </row>
    <row r="91">
      <c r="A91" s="5" t="n"/>
      <c r="B91" s="5" t="n"/>
      <c r="C91" s="5" t="n"/>
      <c r="D91" s="5" t="n"/>
      <c r="E91" s="21">
        <f>IF(D91="","",IFERROR(INDEX(품목_기준정보!$B$24:$B$35,MATCH(D91,품목_기준정보!$A$24:$A$35,0)),"미등록 완제품"))</f>
        <v/>
      </c>
      <c r="F91" s="21">
        <f>IF(D91="","",IFERROR(INDEX(품목_기준정보!$C$24:$C$35,MATCH(D91,품목_기준정보!$A$24:$A$35,0)),""))</f>
        <v/>
      </c>
      <c r="G91" s="7" t="n"/>
      <c r="H91" s="7" t="n"/>
      <c r="I91" s="7" t="n"/>
      <c r="J91" s="5" t="n"/>
      <c r="K91" s="17">
        <f>IF(D91="","",IF(OR(G91&lt;0,H91&lt;0,I91&lt;0),"음수 오류",IF(G91&lt;&gt;(H91+I91),"수량불일치 오류",IF(COUNTIF($B$4:$B$100,B91)&gt;1,"중복 전표",IF(ISNA(MATCH(D91,품목_기준정보!$A$24:$A$35,0)),"미등록 완제품","정상")))))</f>
        <v/>
      </c>
      <c r="L91" s="6" t="n"/>
    </row>
    <row r="92">
      <c r="A92" s="5" t="n"/>
      <c r="B92" s="5" t="n"/>
      <c r="C92" s="5" t="n"/>
      <c r="D92" s="5" t="n"/>
      <c r="E92" s="21">
        <f>IF(D92="","",IFERROR(INDEX(품목_기준정보!$B$24:$B$35,MATCH(D92,품목_기준정보!$A$24:$A$35,0)),"미등록 완제품"))</f>
        <v/>
      </c>
      <c r="F92" s="21">
        <f>IF(D92="","",IFERROR(INDEX(품목_기준정보!$C$24:$C$35,MATCH(D92,품목_기준정보!$A$24:$A$35,0)),""))</f>
        <v/>
      </c>
      <c r="G92" s="7" t="n"/>
      <c r="H92" s="7" t="n"/>
      <c r="I92" s="7" t="n"/>
      <c r="J92" s="5" t="n"/>
      <c r="K92" s="17">
        <f>IF(D92="","",IF(OR(G92&lt;0,H92&lt;0,I92&lt;0),"음수 오류",IF(G92&lt;&gt;(H92+I92),"수량불일치 오류",IF(COUNTIF($B$4:$B$100,B92)&gt;1,"중복 전표",IF(ISNA(MATCH(D92,품목_기준정보!$A$24:$A$35,0)),"미등록 완제품","정상")))))</f>
        <v/>
      </c>
      <c r="L92" s="6" t="n"/>
    </row>
    <row r="93">
      <c r="A93" s="5" t="n"/>
      <c r="B93" s="5" t="n"/>
      <c r="C93" s="5" t="n"/>
      <c r="D93" s="5" t="n"/>
      <c r="E93" s="21">
        <f>IF(D93="","",IFERROR(INDEX(품목_기준정보!$B$24:$B$35,MATCH(D93,품목_기준정보!$A$24:$A$35,0)),"미등록 완제품"))</f>
        <v/>
      </c>
      <c r="F93" s="21">
        <f>IF(D93="","",IFERROR(INDEX(품목_기준정보!$C$24:$C$35,MATCH(D93,품목_기준정보!$A$24:$A$35,0)),""))</f>
        <v/>
      </c>
      <c r="G93" s="7" t="n"/>
      <c r="H93" s="7" t="n"/>
      <c r="I93" s="7" t="n"/>
      <c r="J93" s="5" t="n"/>
      <c r="K93" s="17">
        <f>IF(D93="","",IF(OR(G93&lt;0,H93&lt;0,I93&lt;0),"음수 오류",IF(G93&lt;&gt;(H93+I93),"수량불일치 오류",IF(COUNTIF($B$4:$B$100,B93)&gt;1,"중복 전표",IF(ISNA(MATCH(D93,품목_기준정보!$A$24:$A$35,0)),"미등록 완제품","정상")))))</f>
        <v/>
      </c>
      <c r="L93" s="6" t="n"/>
    </row>
    <row r="94">
      <c r="A94" s="5" t="n"/>
      <c r="B94" s="5" t="n"/>
      <c r="C94" s="5" t="n"/>
      <c r="D94" s="5" t="n"/>
      <c r="E94" s="21">
        <f>IF(D94="","",IFERROR(INDEX(품목_기준정보!$B$24:$B$35,MATCH(D94,품목_기준정보!$A$24:$A$35,0)),"미등록 완제품"))</f>
        <v/>
      </c>
      <c r="F94" s="21">
        <f>IF(D94="","",IFERROR(INDEX(품목_기준정보!$C$24:$C$35,MATCH(D94,품목_기준정보!$A$24:$A$35,0)),""))</f>
        <v/>
      </c>
      <c r="G94" s="7" t="n"/>
      <c r="H94" s="7" t="n"/>
      <c r="I94" s="7" t="n"/>
      <c r="J94" s="5" t="n"/>
      <c r="K94" s="17">
        <f>IF(D94="","",IF(OR(G94&lt;0,H94&lt;0,I94&lt;0),"음수 오류",IF(G94&lt;&gt;(H94+I94),"수량불일치 오류",IF(COUNTIF($B$4:$B$100,B94)&gt;1,"중복 전표",IF(ISNA(MATCH(D94,품목_기준정보!$A$24:$A$35,0)),"미등록 완제품","정상")))))</f>
        <v/>
      </c>
      <c r="L94" s="6" t="n"/>
    </row>
    <row r="95">
      <c r="A95" s="5" t="n"/>
      <c r="B95" s="5" t="n"/>
      <c r="C95" s="5" t="n"/>
      <c r="D95" s="5" t="n"/>
      <c r="E95" s="21">
        <f>IF(D95="","",IFERROR(INDEX(품목_기준정보!$B$24:$B$35,MATCH(D95,품목_기준정보!$A$24:$A$35,0)),"미등록 완제품"))</f>
        <v/>
      </c>
      <c r="F95" s="21">
        <f>IF(D95="","",IFERROR(INDEX(품목_기준정보!$C$24:$C$35,MATCH(D95,품목_기준정보!$A$24:$A$35,0)),""))</f>
        <v/>
      </c>
      <c r="G95" s="7" t="n"/>
      <c r="H95" s="7" t="n"/>
      <c r="I95" s="7" t="n"/>
      <c r="J95" s="5" t="n"/>
      <c r="K95" s="17">
        <f>IF(D95="","",IF(OR(G95&lt;0,H95&lt;0,I95&lt;0),"음수 오류",IF(G95&lt;&gt;(H95+I95),"수량불일치 오류",IF(COUNTIF($B$4:$B$100,B95)&gt;1,"중복 전표",IF(ISNA(MATCH(D95,품목_기준정보!$A$24:$A$35,0)),"미등록 완제품","정상")))))</f>
        <v/>
      </c>
      <c r="L95" s="6" t="n"/>
    </row>
    <row r="96">
      <c r="A96" s="5" t="n"/>
      <c r="B96" s="5" t="n"/>
      <c r="C96" s="5" t="n"/>
      <c r="D96" s="5" t="n"/>
      <c r="E96" s="21">
        <f>IF(D96="","",IFERROR(INDEX(품목_기준정보!$B$24:$B$35,MATCH(D96,품목_기준정보!$A$24:$A$35,0)),"미등록 완제품"))</f>
        <v/>
      </c>
      <c r="F96" s="21">
        <f>IF(D96="","",IFERROR(INDEX(품목_기준정보!$C$24:$C$35,MATCH(D96,품목_기준정보!$A$24:$A$35,0)),""))</f>
        <v/>
      </c>
      <c r="G96" s="7" t="n"/>
      <c r="H96" s="7" t="n"/>
      <c r="I96" s="7" t="n"/>
      <c r="J96" s="5" t="n"/>
      <c r="K96" s="17">
        <f>IF(D96="","",IF(OR(G96&lt;0,H96&lt;0,I96&lt;0),"음수 오류",IF(G96&lt;&gt;(H96+I96),"수량불일치 오류",IF(COUNTIF($B$4:$B$100,B96)&gt;1,"중복 전표",IF(ISNA(MATCH(D96,품목_기준정보!$A$24:$A$35,0)),"미등록 완제품","정상")))))</f>
        <v/>
      </c>
      <c r="L96" s="6" t="n"/>
    </row>
    <row r="97">
      <c r="A97" s="5" t="n"/>
      <c r="B97" s="5" t="n"/>
      <c r="C97" s="5" t="n"/>
      <c r="D97" s="5" t="n"/>
      <c r="E97" s="21">
        <f>IF(D97="","",IFERROR(INDEX(품목_기준정보!$B$24:$B$35,MATCH(D97,품목_기준정보!$A$24:$A$35,0)),"미등록 완제품"))</f>
        <v/>
      </c>
      <c r="F97" s="21">
        <f>IF(D97="","",IFERROR(INDEX(품목_기준정보!$C$24:$C$35,MATCH(D97,품목_기준정보!$A$24:$A$35,0)),""))</f>
        <v/>
      </c>
      <c r="G97" s="7" t="n"/>
      <c r="H97" s="7" t="n"/>
      <c r="I97" s="7" t="n"/>
      <c r="J97" s="5" t="n"/>
      <c r="K97" s="17">
        <f>IF(D97="","",IF(OR(G97&lt;0,H97&lt;0,I97&lt;0),"음수 오류",IF(G97&lt;&gt;(H97+I97),"수량불일치 오류",IF(COUNTIF($B$4:$B$100,B97)&gt;1,"중복 전표",IF(ISNA(MATCH(D97,품목_기준정보!$A$24:$A$35,0)),"미등록 완제품","정상")))))</f>
        <v/>
      </c>
      <c r="L97" s="6" t="n"/>
    </row>
    <row r="98">
      <c r="A98" s="5" t="n"/>
      <c r="B98" s="5" t="n"/>
      <c r="C98" s="5" t="n"/>
      <c r="D98" s="5" t="n"/>
      <c r="E98" s="21">
        <f>IF(D98="","",IFERROR(INDEX(품목_기준정보!$B$24:$B$35,MATCH(D98,품목_기준정보!$A$24:$A$35,0)),"미등록 완제품"))</f>
        <v/>
      </c>
      <c r="F98" s="21">
        <f>IF(D98="","",IFERROR(INDEX(품목_기준정보!$C$24:$C$35,MATCH(D98,품목_기준정보!$A$24:$A$35,0)),""))</f>
        <v/>
      </c>
      <c r="G98" s="7" t="n"/>
      <c r="H98" s="7" t="n"/>
      <c r="I98" s="7" t="n"/>
      <c r="J98" s="5" t="n"/>
      <c r="K98" s="17">
        <f>IF(D98="","",IF(OR(G98&lt;0,H98&lt;0,I98&lt;0),"음수 오류",IF(G98&lt;&gt;(H98+I98),"수량불일치 오류",IF(COUNTIF($B$4:$B$100,B98)&gt;1,"중복 전표",IF(ISNA(MATCH(D98,품목_기준정보!$A$24:$A$35,0)),"미등록 완제품","정상")))))</f>
        <v/>
      </c>
      <c r="L98" s="6" t="n"/>
    </row>
    <row r="99">
      <c r="A99" s="5" t="n"/>
      <c r="B99" s="5" t="n"/>
      <c r="C99" s="5" t="n"/>
      <c r="D99" s="5" t="n"/>
      <c r="E99" s="21">
        <f>IF(D99="","",IFERROR(INDEX(품목_기준정보!$B$24:$B$35,MATCH(D99,품목_기준정보!$A$24:$A$35,0)),"미등록 완제품"))</f>
        <v/>
      </c>
      <c r="F99" s="21">
        <f>IF(D99="","",IFERROR(INDEX(품목_기준정보!$C$24:$C$35,MATCH(D99,품목_기준정보!$A$24:$A$35,0)),""))</f>
        <v/>
      </c>
      <c r="G99" s="7" t="n"/>
      <c r="H99" s="7" t="n"/>
      <c r="I99" s="7" t="n"/>
      <c r="J99" s="5" t="n"/>
      <c r="K99" s="17">
        <f>IF(D99="","",IF(OR(G99&lt;0,H99&lt;0,I99&lt;0),"음수 오류",IF(G99&lt;&gt;(H99+I99),"수량불일치 오류",IF(COUNTIF($B$4:$B$100,B99)&gt;1,"중복 전표",IF(ISNA(MATCH(D99,품목_기준정보!$A$24:$A$35,0)),"미등록 완제품","정상")))))</f>
        <v/>
      </c>
      <c r="L99" s="6" t="n"/>
    </row>
    <row r="100">
      <c r="A100" s="5" t="n"/>
      <c r="B100" s="5" t="n"/>
      <c r="C100" s="5" t="n"/>
      <c r="D100" s="5" t="n"/>
      <c r="E100" s="21">
        <f>IF(D100="","",IFERROR(INDEX(품목_기준정보!$B$24:$B$35,MATCH(D100,품목_기준정보!$A$24:$A$35,0)),"미등록 완제품"))</f>
        <v/>
      </c>
      <c r="F100" s="21">
        <f>IF(D100="","",IFERROR(INDEX(품목_기준정보!$C$24:$C$35,MATCH(D100,품목_기준정보!$A$24:$A$35,0)),""))</f>
        <v/>
      </c>
      <c r="G100" s="7" t="n"/>
      <c r="H100" s="7" t="n"/>
      <c r="I100" s="7" t="n"/>
      <c r="J100" s="5" t="n"/>
      <c r="K100" s="17">
        <f>IF(D100="","",IF(OR(G100&lt;0,H100&lt;0,I100&lt;0),"음수 오류",IF(G100&lt;&gt;(H100+I100),"수량불일치 오류",IF(COUNTIF($B$4:$B$100,B100)&gt;1,"중복 전표",IF(ISNA(MATCH(D100,품목_기준정보!$A$24:$A$35,0)),"미등록 완제품","정상")))))</f>
        <v/>
      </c>
      <c r="L100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ColWidth="9" defaultRowHeight="16.5"/>
  <cols>
    <col width="13" customWidth="1" min="1" max="1"/>
    <col width="14" customWidth="1" min="2" max="2"/>
    <col width="9" customWidth="1" min="3" max="3"/>
    <col width="13" customWidth="1" min="4" max="4"/>
    <col width="20" customWidth="1" min="5" max="5"/>
    <col width="7" customWidth="1" min="6" max="6"/>
    <col width="11" customWidth="1" min="7" max="7"/>
    <col width="12" customWidth="1" min="8" max="8"/>
    <col width="18" customWidth="1" min="9" max="9"/>
    <col width="25" customWidth="1" min="10" max="10"/>
    <col width="11" customWidth="1" min="11" max="11"/>
    <col width="14" customWidth="1" min="12" max="12"/>
  </cols>
  <sheetData>
    <row r="1" ht="24" customHeight="1">
      <c r="A1" s="2" t="inlineStr">
        <is>
          <t>원부자재 입출고 수불 원장</t>
        </is>
      </c>
    </row>
    <row r="2">
      <c r="A2" s="3" t="inlineStr">
        <is>
          <t>※ 신규 자재 입고 및 기타 출고(폐기/반출/실사조정)를 기록합니다. 생산 투입은 생산실적일지에서 자동 차감됩니다.</t>
        </is>
      </c>
    </row>
    <row r="3" ht="17.25" customHeight="1">
      <c r="A3" s="9" t="inlineStr">
        <is>
          <t>일자</t>
        </is>
      </c>
      <c r="B3" s="9" t="inlineStr">
        <is>
          <t>전표번호</t>
        </is>
      </c>
      <c r="C3" s="9" t="inlineStr">
        <is>
          <t>구분</t>
        </is>
      </c>
      <c r="D3" s="9" t="inlineStr">
        <is>
          <t>부품구분</t>
        </is>
      </c>
      <c r="E3" s="9" t="inlineStr">
        <is>
          <t>부품명</t>
        </is>
      </c>
      <c r="F3" s="9" t="inlineStr">
        <is>
          <t>단위</t>
        </is>
      </c>
      <c r="G3" s="9" t="inlineStr">
        <is>
          <t>입고수량</t>
        </is>
      </c>
      <c r="H3" s="9" t="inlineStr">
        <is>
          <t>기타출고수량</t>
        </is>
      </c>
      <c r="I3" s="9" t="inlineStr">
        <is>
          <t>거래처/적요</t>
        </is>
      </c>
      <c r="J3" s="9" t="inlineStr">
        <is>
          <t>비고/상세사유</t>
        </is>
      </c>
      <c r="K3" s="9" t="inlineStr">
        <is>
          <t>담당자</t>
        </is>
      </c>
      <c r="L3" s="9" t="inlineStr">
        <is>
          <t>검증상태</t>
        </is>
      </c>
    </row>
    <row r="4">
      <c r="A4" s="16" t="inlineStr">
        <is>
          <t>2026-09-15</t>
        </is>
      </c>
      <c r="B4" s="16" t="inlineStr">
        <is>
          <t>IN-2609-01</t>
        </is>
      </c>
      <c r="C4" s="16" t="inlineStr">
        <is>
          <t>입고</t>
        </is>
      </c>
      <c r="D4" s="17">
        <f>IF(E4="","",IFERROR(INDEX(품목_기준정보!$C$6:$C$25,MATCH(E4,품목_기준정보!$B$6:$B$25,0)),"미등록 품목"))</f>
        <v/>
      </c>
      <c r="E4" s="18" t="inlineStr">
        <is>
          <t>크롬일자선반가이드</t>
        </is>
      </c>
      <c r="F4" s="17">
        <f>IF(E4="","",IFERROR(INDEX(품목_기준정보!$D$6:$D$25,MATCH(E4,품목_기준정보!$B$6:$B$25,0)),""))</f>
        <v/>
      </c>
      <c r="G4" s="19" t="n">
        <v>100</v>
      </c>
      <c r="H4" s="19" t="n">
        <v>0</v>
      </c>
      <c r="I4" s="18" t="inlineStr">
        <is>
          <t>(주)메탈테크</t>
        </is>
      </c>
      <c r="J4" s="18" t="inlineStr">
        <is>
          <t>신규 라인 시운전용 입고</t>
        </is>
      </c>
      <c r="K4" s="16" t="inlineStr">
        <is>
          <t>김자재</t>
        </is>
      </c>
      <c r="L4" s="17">
        <f>IF(E4="","",IF(OR(G4&lt;0,H4&lt;0),"음수 오류",IF(ISNA(MATCH(E4,품목_기준정보!$B$6:$B$25,0)),"미등록 품목",IF(COUNTIF($B$4:$B$100,B4)&gt;1,"중복 전표","정상"))))</f>
        <v/>
      </c>
    </row>
    <row r="5">
      <c r="A5" s="16" t="inlineStr">
        <is>
          <t>2026-09-16</t>
        </is>
      </c>
      <c r="B5" s="16" t="inlineStr">
        <is>
          <t>IN-2609-02</t>
        </is>
      </c>
      <c r="C5" s="16" t="inlineStr">
        <is>
          <t>입고</t>
        </is>
      </c>
      <c r="D5" s="17">
        <f>IF(E5="","",IFERROR(INDEX(품목_기준정보!$C$6:$C$25,MATCH(E5,품목_기준정보!$B$6:$B$25,0)),"미등록 품목"))</f>
        <v/>
      </c>
      <c r="E5" s="18" t="inlineStr">
        <is>
          <t>블랙일자선반가이드</t>
        </is>
      </c>
      <c r="F5" s="17">
        <f>IF(E5="","",IFERROR(INDEX(품목_기준정보!$D$6:$D$25,MATCH(E5,품목_기준정보!$B$6:$B$25,0)),""))</f>
        <v/>
      </c>
      <c r="G5" s="19" t="n">
        <v>200</v>
      </c>
      <c r="H5" s="19" t="n">
        <v>0</v>
      </c>
      <c r="I5" s="18" t="inlineStr">
        <is>
          <t>(주)메탈테크</t>
        </is>
      </c>
      <c r="J5" s="18" t="inlineStr">
        <is>
          <t>부족 부품 보충 입고</t>
        </is>
      </c>
      <c r="K5" s="16" t="inlineStr">
        <is>
          <t>김자재</t>
        </is>
      </c>
      <c r="L5" s="17">
        <f>IF(E5="","",IF(OR(G5&lt;0,H5&lt;0),"음수 오류",IF(ISNA(MATCH(E5,품목_기준정보!$B$6:$B$25,0)),"미등록 품목",IF(COUNTIF($B$4:$B$100,B5)&gt;1,"중복 전표","정상"))))</f>
        <v/>
      </c>
    </row>
    <row r="6">
      <c r="A6" s="16" t="inlineStr">
        <is>
          <t>2026-09-17</t>
        </is>
      </c>
      <c r="B6" s="16" t="inlineStr">
        <is>
          <t>OUT-2609-01</t>
        </is>
      </c>
      <c r="C6" s="16" t="inlineStr">
        <is>
          <t>출고</t>
        </is>
      </c>
      <c r="D6" s="17">
        <f>IF(E6="","",IFERROR(INDEX(품목_기준정보!$C$6:$C$25,MATCH(E6,품목_기준정보!$B$6:$B$25,0)),"미등록 품목"))</f>
        <v/>
      </c>
      <c r="E6" s="18" t="inlineStr">
        <is>
          <t>블랙삼각선반</t>
        </is>
      </c>
      <c r="F6" s="17">
        <f>IF(E6="","",IFERROR(INDEX(품목_기준정보!$D$6:$D$25,MATCH(E6,품목_기준정보!$B$6:$B$25,0)),""))</f>
        <v/>
      </c>
      <c r="G6" s="19" t="n">
        <v>0</v>
      </c>
      <c r="H6" s="19" t="n">
        <v>5</v>
      </c>
      <c r="I6" s="18" t="inlineStr">
        <is>
          <t>품질관리팀</t>
        </is>
      </c>
      <c r="J6" s="18" t="inlineStr">
        <is>
          <t>운반 중 파손 폐기 처리</t>
        </is>
      </c>
      <c r="K6" s="16" t="inlineStr">
        <is>
          <t>이품질</t>
        </is>
      </c>
      <c r="L6" s="17">
        <f>IF(E6="","",IF(OR(G6&lt;0,H6&lt;0),"음수 오류",IF(ISNA(MATCH(E6,품목_기준정보!$B$6:$B$25,0)),"미등록 품목",IF(COUNTIF($B$4:$B$100,B6)&gt;1,"중복 전표","정상"))))</f>
        <v/>
      </c>
    </row>
    <row r="7">
      <c r="A7" s="16" t="inlineStr">
        <is>
          <t>2026-09-18</t>
        </is>
      </c>
      <c r="B7" s="16" t="inlineStr">
        <is>
          <t>IN-2609-03</t>
        </is>
      </c>
      <c r="C7" s="16" t="inlineStr">
        <is>
          <t>입고</t>
        </is>
      </c>
      <c r="D7" s="17">
        <f>IF(E7="","",IFERROR(INDEX(품목_기준정보!$C$6:$C$25,MATCH(E7,품목_기준정보!$B$6:$B$25,0)),"미등록 품목"))</f>
        <v/>
      </c>
      <c r="E7" s="18" t="inlineStr">
        <is>
          <t>비닐</t>
        </is>
      </c>
      <c r="F7" s="17">
        <f>IF(E7="","",IFERROR(INDEX(품목_기준정보!$D$6:$D$25,MATCH(E7,품목_기준정보!$B$6:$B$25,0)),""))</f>
        <v/>
      </c>
      <c r="G7" s="19" t="n">
        <v>500</v>
      </c>
      <c r="H7" s="19" t="n">
        <v>0</v>
      </c>
      <c r="I7" s="18" t="inlineStr">
        <is>
          <t>(주)화스너테크</t>
        </is>
      </c>
      <c r="J7" s="18" t="inlineStr">
        <is>
          <t>정기 안전재고 보충</t>
        </is>
      </c>
      <c r="K7" s="16" t="inlineStr">
        <is>
          <t>김자재</t>
        </is>
      </c>
      <c r="L7" s="17">
        <f>IF(E7="","",IF(OR(G7&lt;0,H7&lt;0),"음수 오류",IF(ISNA(MATCH(E7,품목_기준정보!$B$6:$B$25,0)),"미등록 품목",IF(COUNTIF($B$4:$B$100,B7)&gt;1,"중복 전표","정상"))))</f>
        <v/>
      </c>
    </row>
    <row r="8">
      <c r="A8" s="5" t="n"/>
      <c r="B8" s="5" t="n"/>
      <c r="C8" s="5" t="n"/>
      <c r="D8" s="17">
        <f>IF(E8="","",IFERROR(INDEX(품목_기준정보!$C$6:$C$25,MATCH(E8,품목_기준정보!$B$6:$B$25,0)),"미등록 품목"))</f>
        <v/>
      </c>
      <c r="E8" s="6" t="n"/>
      <c r="F8" s="17">
        <f>IF(E8="","",IFERROR(INDEX(품목_기준정보!$D$6:$D$25,MATCH(E8,품목_기준정보!$B$6:$B$25,0)),""))</f>
        <v/>
      </c>
      <c r="G8" s="7" t="n"/>
      <c r="H8" s="7" t="n"/>
      <c r="I8" s="6" t="n"/>
      <c r="J8" s="6" t="n"/>
      <c r="K8" s="5" t="n"/>
      <c r="L8" s="17">
        <f>IF(E8="","",IF(OR(G8&lt;0,H8&lt;0),"음수 오류",IF(ISNA(MATCH(E8,품목_기준정보!$B$6:$B$25,0)),"미등록 품목",IF(COUNTIF($B$4:$B$100,B8)&gt;1,"중복 전표","정상"))))</f>
        <v/>
      </c>
    </row>
    <row r="9">
      <c r="A9" s="5" t="n"/>
      <c r="B9" s="5" t="n"/>
      <c r="C9" s="5" t="n"/>
      <c r="D9" s="17">
        <f>IF(E9="","",IFERROR(INDEX(품목_기준정보!$C$6:$C$25,MATCH(E9,품목_기준정보!$B$6:$B$25,0)),"미등록 품목"))</f>
        <v/>
      </c>
      <c r="E9" s="6" t="n"/>
      <c r="F9" s="17">
        <f>IF(E9="","",IFERROR(INDEX(품목_기준정보!$D$6:$D$25,MATCH(E9,품목_기준정보!$B$6:$B$25,0)),""))</f>
        <v/>
      </c>
      <c r="G9" s="7" t="n"/>
      <c r="H9" s="7" t="n"/>
      <c r="I9" s="6" t="n"/>
      <c r="J9" s="6" t="n"/>
      <c r="K9" s="5" t="n"/>
      <c r="L9" s="17">
        <f>IF(E9="","",IF(OR(G9&lt;0,H9&lt;0),"음수 오류",IF(ISNA(MATCH(E9,품목_기준정보!$B$6:$B$25,0)),"미등록 품목",IF(COUNTIF($B$4:$B$100,B9)&gt;1,"중복 전표","정상"))))</f>
        <v/>
      </c>
    </row>
    <row r="10">
      <c r="A10" s="5" t="n"/>
      <c r="B10" s="5" t="n"/>
      <c r="C10" s="5" t="n"/>
      <c r="D10" s="17">
        <f>IF(E10="","",IFERROR(INDEX(품목_기준정보!$C$6:$C$25,MATCH(E10,품목_기준정보!$B$6:$B$25,0)),"미등록 품목"))</f>
        <v/>
      </c>
      <c r="E10" s="6" t="n"/>
      <c r="F10" s="17">
        <f>IF(E10="","",IFERROR(INDEX(품목_기준정보!$D$6:$D$25,MATCH(E10,품목_기준정보!$B$6:$B$25,0)),""))</f>
        <v/>
      </c>
      <c r="G10" s="7" t="n"/>
      <c r="H10" s="7" t="n"/>
      <c r="I10" s="6" t="n"/>
      <c r="J10" s="6" t="n"/>
      <c r="K10" s="5" t="n"/>
      <c r="L10" s="17">
        <f>IF(E10="","",IF(OR(G10&lt;0,H10&lt;0),"음수 오류",IF(ISNA(MATCH(E10,품목_기준정보!$B$6:$B$25,0)),"미등록 품목",IF(COUNTIF($B$4:$B$100,B10)&gt;1,"중복 전표","정상"))))</f>
        <v/>
      </c>
    </row>
    <row r="11">
      <c r="A11" s="5" t="n"/>
      <c r="B11" s="5" t="n"/>
      <c r="C11" s="5" t="n"/>
      <c r="D11" s="17">
        <f>IF(E11="","",IFERROR(INDEX(품목_기준정보!$C$6:$C$25,MATCH(E11,품목_기준정보!$B$6:$B$25,0)),"미등록 품목"))</f>
        <v/>
      </c>
      <c r="E11" s="6" t="n"/>
      <c r="F11" s="17">
        <f>IF(E11="","",IFERROR(INDEX(품목_기준정보!$D$6:$D$25,MATCH(E11,품목_기준정보!$B$6:$B$25,0)),""))</f>
        <v/>
      </c>
      <c r="G11" s="7" t="n"/>
      <c r="H11" s="7" t="n"/>
      <c r="I11" s="6" t="n"/>
      <c r="J11" s="6" t="n"/>
      <c r="K11" s="5" t="n"/>
      <c r="L11" s="17">
        <f>IF(E11="","",IF(OR(G11&lt;0,H11&lt;0),"음수 오류",IF(ISNA(MATCH(E11,품목_기준정보!$B$6:$B$25,0)),"미등록 품목",IF(COUNTIF($B$4:$B$100,B11)&gt;1,"중복 전표","정상"))))</f>
        <v/>
      </c>
    </row>
    <row r="12">
      <c r="A12" s="5" t="n"/>
      <c r="B12" s="5" t="n"/>
      <c r="C12" s="5" t="n"/>
      <c r="D12" s="17">
        <f>IF(E12="","",IFERROR(INDEX(품목_기준정보!$C$6:$C$25,MATCH(E12,품목_기준정보!$B$6:$B$25,0)),"미등록 품목"))</f>
        <v/>
      </c>
      <c r="E12" s="6" t="n"/>
      <c r="F12" s="17">
        <f>IF(E12="","",IFERROR(INDEX(품목_기준정보!$D$6:$D$25,MATCH(E12,품목_기준정보!$B$6:$B$25,0)),""))</f>
        <v/>
      </c>
      <c r="G12" s="7" t="n"/>
      <c r="H12" s="7" t="n"/>
      <c r="I12" s="6" t="n"/>
      <c r="J12" s="6" t="n"/>
      <c r="K12" s="5" t="n"/>
      <c r="L12" s="17">
        <f>IF(E12="","",IF(OR(G12&lt;0,H12&lt;0),"음수 오류",IF(ISNA(MATCH(E12,품목_기준정보!$B$6:$B$25,0)),"미등록 품목",IF(COUNTIF($B$4:$B$100,B12)&gt;1,"중복 전표","정상"))))</f>
        <v/>
      </c>
    </row>
    <row r="13">
      <c r="A13" s="5" t="n"/>
      <c r="B13" s="5" t="n"/>
      <c r="C13" s="5" t="n"/>
      <c r="D13" s="17">
        <f>IF(E13="","",IFERROR(INDEX(품목_기준정보!$C$6:$C$25,MATCH(E13,품목_기준정보!$B$6:$B$25,0)),"미등록 품목"))</f>
        <v/>
      </c>
      <c r="E13" s="6" t="n"/>
      <c r="F13" s="17">
        <f>IF(E13="","",IFERROR(INDEX(품목_기준정보!$D$6:$D$25,MATCH(E13,품목_기준정보!$B$6:$B$25,0)),""))</f>
        <v/>
      </c>
      <c r="G13" s="7" t="n"/>
      <c r="H13" s="7" t="n"/>
      <c r="I13" s="6" t="n"/>
      <c r="J13" s="6" t="n"/>
      <c r="K13" s="5" t="n"/>
      <c r="L13" s="17">
        <f>IF(E13="","",IF(OR(G13&lt;0,H13&lt;0),"음수 오류",IF(ISNA(MATCH(E13,품목_기준정보!$B$6:$B$25,0)),"미등록 품목",IF(COUNTIF($B$4:$B$100,B13)&gt;1,"중복 전표","정상"))))</f>
        <v/>
      </c>
    </row>
    <row r="14">
      <c r="A14" s="5" t="n"/>
      <c r="B14" s="5" t="n"/>
      <c r="C14" s="5" t="n"/>
      <c r="D14" s="17">
        <f>IF(E14="","",IFERROR(INDEX(품목_기준정보!$C$6:$C$25,MATCH(E14,품목_기준정보!$B$6:$B$25,0)),"미등록 품목"))</f>
        <v/>
      </c>
      <c r="E14" s="6" t="n"/>
      <c r="F14" s="17">
        <f>IF(E14="","",IFERROR(INDEX(품목_기준정보!$D$6:$D$25,MATCH(E14,품목_기준정보!$B$6:$B$25,0)),""))</f>
        <v/>
      </c>
      <c r="G14" s="7" t="n"/>
      <c r="H14" s="7" t="n"/>
      <c r="I14" s="6" t="n"/>
      <c r="J14" s="6" t="n"/>
      <c r="K14" s="5" t="n"/>
      <c r="L14" s="17">
        <f>IF(E14="","",IF(OR(G14&lt;0,H14&lt;0),"음수 오류",IF(ISNA(MATCH(E14,품목_기준정보!$B$6:$B$25,0)),"미등록 품목",IF(COUNTIF($B$4:$B$100,B14)&gt;1,"중복 전표","정상"))))</f>
        <v/>
      </c>
    </row>
    <row r="15">
      <c r="A15" s="5" t="n"/>
      <c r="B15" s="5" t="n"/>
      <c r="C15" s="5" t="n"/>
      <c r="D15" s="17">
        <f>IF(E15="","",IFERROR(INDEX(품목_기준정보!$C$6:$C$25,MATCH(E15,품목_기준정보!$B$6:$B$25,0)),"미등록 품목"))</f>
        <v/>
      </c>
      <c r="E15" s="6" t="n"/>
      <c r="F15" s="17">
        <f>IF(E15="","",IFERROR(INDEX(품목_기준정보!$D$6:$D$25,MATCH(E15,품목_기준정보!$B$6:$B$25,0)),""))</f>
        <v/>
      </c>
      <c r="G15" s="7" t="n"/>
      <c r="H15" s="7" t="n"/>
      <c r="I15" s="6" t="n"/>
      <c r="J15" s="6" t="n"/>
      <c r="K15" s="5" t="n"/>
      <c r="L15" s="17">
        <f>IF(E15="","",IF(OR(G15&lt;0,H15&lt;0),"음수 오류",IF(ISNA(MATCH(E15,품목_기준정보!$B$6:$B$25,0)),"미등록 품목",IF(COUNTIF($B$4:$B$100,B15)&gt;1,"중복 전표","정상"))))</f>
        <v/>
      </c>
    </row>
    <row r="16">
      <c r="A16" s="5" t="n"/>
      <c r="B16" s="5" t="n"/>
      <c r="C16" s="5" t="n"/>
      <c r="D16" s="17">
        <f>IF(E16="","",IFERROR(INDEX(품목_기준정보!$C$6:$C$25,MATCH(E16,품목_기준정보!$B$6:$B$25,0)),"미등록 품목"))</f>
        <v/>
      </c>
      <c r="E16" s="6" t="n"/>
      <c r="F16" s="17">
        <f>IF(E16="","",IFERROR(INDEX(품목_기준정보!$D$6:$D$25,MATCH(E16,품목_기준정보!$B$6:$B$25,0)),""))</f>
        <v/>
      </c>
      <c r="G16" s="7" t="n"/>
      <c r="H16" s="7" t="n"/>
      <c r="I16" s="6" t="n"/>
      <c r="J16" s="6" t="n"/>
      <c r="K16" s="5" t="n"/>
      <c r="L16" s="17">
        <f>IF(E16="","",IF(OR(G16&lt;0,H16&lt;0),"음수 오류",IF(ISNA(MATCH(E16,품목_기준정보!$B$6:$B$25,0)),"미등록 품목",IF(COUNTIF($B$4:$B$100,B16)&gt;1,"중복 전표","정상"))))</f>
        <v/>
      </c>
    </row>
    <row r="17">
      <c r="A17" s="5" t="n"/>
      <c r="B17" s="5" t="n"/>
      <c r="C17" s="5" t="n"/>
      <c r="D17" s="17">
        <f>IF(E17="","",IFERROR(INDEX(품목_기준정보!$C$6:$C$25,MATCH(E17,품목_기준정보!$B$6:$B$25,0)),"미등록 품목"))</f>
        <v/>
      </c>
      <c r="E17" s="6" t="n"/>
      <c r="F17" s="17">
        <f>IF(E17="","",IFERROR(INDEX(품목_기준정보!$D$6:$D$25,MATCH(E17,품목_기준정보!$B$6:$B$25,0)),""))</f>
        <v/>
      </c>
      <c r="G17" s="7" t="n"/>
      <c r="H17" s="7" t="n"/>
      <c r="I17" s="6" t="n"/>
      <c r="J17" s="6" t="n"/>
      <c r="K17" s="5" t="n"/>
      <c r="L17" s="17">
        <f>IF(E17="","",IF(OR(G17&lt;0,H17&lt;0),"음수 오류",IF(ISNA(MATCH(E17,품목_기준정보!$B$6:$B$25,0)),"미등록 품목",IF(COUNTIF($B$4:$B$100,B17)&gt;1,"중복 전표","정상"))))</f>
        <v/>
      </c>
    </row>
    <row r="18">
      <c r="A18" s="5" t="n"/>
      <c r="B18" s="5" t="n"/>
      <c r="C18" s="5" t="n"/>
      <c r="D18" s="17">
        <f>IF(E18="","",IFERROR(INDEX(품목_기준정보!$C$6:$C$25,MATCH(E18,품목_기준정보!$B$6:$B$25,0)),"미등록 품목"))</f>
        <v/>
      </c>
      <c r="E18" s="6" t="n"/>
      <c r="F18" s="17">
        <f>IF(E18="","",IFERROR(INDEX(품목_기준정보!$D$6:$D$25,MATCH(E18,품목_기준정보!$B$6:$B$25,0)),""))</f>
        <v/>
      </c>
      <c r="G18" s="7" t="n"/>
      <c r="H18" s="7" t="n"/>
      <c r="I18" s="6" t="n"/>
      <c r="J18" s="6" t="n"/>
      <c r="K18" s="5" t="n"/>
      <c r="L18" s="17">
        <f>IF(E18="","",IF(OR(G18&lt;0,H18&lt;0),"음수 오류",IF(ISNA(MATCH(E18,품목_기준정보!$B$6:$B$25,0)),"미등록 품목",IF(COUNTIF($B$4:$B$100,B18)&gt;1,"중복 전표","정상"))))</f>
        <v/>
      </c>
    </row>
    <row r="19">
      <c r="A19" s="5" t="n"/>
      <c r="B19" s="5" t="n"/>
      <c r="C19" s="5" t="n"/>
      <c r="D19" s="17">
        <f>IF(E19="","",IFERROR(INDEX(품목_기준정보!$C$6:$C$25,MATCH(E19,품목_기준정보!$B$6:$B$25,0)),"미등록 품목"))</f>
        <v/>
      </c>
      <c r="E19" s="6" t="n"/>
      <c r="F19" s="17">
        <f>IF(E19="","",IFERROR(INDEX(품목_기준정보!$D$6:$D$25,MATCH(E19,품목_기준정보!$B$6:$B$25,0)),""))</f>
        <v/>
      </c>
      <c r="G19" s="7" t="n"/>
      <c r="H19" s="7" t="n"/>
      <c r="I19" s="6" t="n"/>
      <c r="J19" s="6" t="n"/>
      <c r="K19" s="5" t="n"/>
      <c r="L19" s="17">
        <f>IF(E19="","",IF(OR(G19&lt;0,H19&lt;0),"음수 오류",IF(ISNA(MATCH(E19,품목_기준정보!$B$6:$B$25,0)),"미등록 품목",IF(COUNTIF($B$4:$B$100,B19)&gt;1,"중복 전표","정상"))))</f>
        <v/>
      </c>
    </row>
    <row r="20">
      <c r="A20" s="5" t="n"/>
      <c r="B20" s="5" t="n"/>
      <c r="C20" s="5" t="n"/>
      <c r="D20" s="17">
        <f>IF(E20="","",IFERROR(INDEX(품목_기준정보!$C$6:$C$25,MATCH(E20,품목_기준정보!$B$6:$B$25,0)),"미등록 품목"))</f>
        <v/>
      </c>
      <c r="E20" s="6" t="n"/>
      <c r="F20" s="17">
        <f>IF(E20="","",IFERROR(INDEX(품목_기준정보!$D$6:$D$25,MATCH(E20,품목_기준정보!$B$6:$B$25,0)),""))</f>
        <v/>
      </c>
      <c r="G20" s="7" t="n"/>
      <c r="H20" s="7" t="n"/>
      <c r="I20" s="6" t="n"/>
      <c r="J20" s="6" t="n"/>
      <c r="K20" s="5" t="n"/>
      <c r="L20" s="17">
        <f>IF(E20="","",IF(OR(G20&lt;0,H20&lt;0),"음수 오류",IF(ISNA(MATCH(E20,품목_기준정보!$B$6:$B$25,0)),"미등록 품목",IF(COUNTIF($B$4:$B$100,B20)&gt;1,"중복 전표","정상"))))</f>
        <v/>
      </c>
    </row>
    <row r="21">
      <c r="A21" s="5" t="n"/>
      <c r="B21" s="5" t="n"/>
      <c r="C21" s="5" t="n"/>
      <c r="D21" s="17">
        <f>IF(E21="","",IFERROR(INDEX(품목_기준정보!$C$6:$C$25,MATCH(E21,품목_기준정보!$B$6:$B$25,0)),"미등록 품목"))</f>
        <v/>
      </c>
      <c r="E21" s="6" t="n"/>
      <c r="F21" s="17">
        <f>IF(E21="","",IFERROR(INDEX(품목_기준정보!$D$6:$D$25,MATCH(E21,품목_기준정보!$B$6:$B$25,0)),""))</f>
        <v/>
      </c>
      <c r="G21" s="7" t="n"/>
      <c r="H21" s="7" t="n"/>
      <c r="I21" s="6" t="n"/>
      <c r="J21" s="6" t="n"/>
      <c r="K21" s="5" t="n"/>
      <c r="L21" s="17">
        <f>IF(E21="","",IF(OR(G21&lt;0,H21&lt;0),"음수 오류",IF(ISNA(MATCH(E21,품목_기준정보!$B$6:$B$25,0)),"미등록 품목",IF(COUNTIF($B$4:$B$100,B21)&gt;1,"중복 전표","정상"))))</f>
        <v/>
      </c>
    </row>
    <row r="22">
      <c r="A22" s="5" t="n"/>
      <c r="B22" s="5" t="n"/>
      <c r="C22" s="5" t="n"/>
      <c r="D22" s="17">
        <f>IF(E22="","",IFERROR(INDEX(품목_기준정보!$C$6:$C$25,MATCH(E22,품목_기준정보!$B$6:$B$25,0)),"미등록 품목"))</f>
        <v/>
      </c>
      <c r="E22" s="6" t="n"/>
      <c r="F22" s="17">
        <f>IF(E22="","",IFERROR(INDEX(품목_기준정보!$D$6:$D$25,MATCH(E22,품목_기준정보!$B$6:$B$25,0)),""))</f>
        <v/>
      </c>
      <c r="G22" s="7" t="n"/>
      <c r="H22" s="7" t="n"/>
      <c r="I22" s="6" t="n"/>
      <c r="J22" s="6" t="n"/>
      <c r="K22" s="5" t="n"/>
      <c r="L22" s="17">
        <f>IF(E22="","",IF(OR(G22&lt;0,H22&lt;0),"음수 오류",IF(ISNA(MATCH(E22,품목_기준정보!$B$6:$B$25,0)),"미등록 품목",IF(COUNTIF($B$4:$B$100,B22)&gt;1,"중복 전표","정상"))))</f>
        <v/>
      </c>
    </row>
    <row r="23">
      <c r="A23" s="5" t="n"/>
      <c r="B23" s="5" t="n"/>
      <c r="C23" s="5" t="n"/>
      <c r="D23" s="17">
        <f>IF(E23="","",IFERROR(INDEX(품목_기준정보!$C$6:$C$25,MATCH(E23,품목_기준정보!$B$6:$B$25,0)),"미등록 품목"))</f>
        <v/>
      </c>
      <c r="E23" s="6" t="n"/>
      <c r="F23" s="17">
        <f>IF(E23="","",IFERROR(INDEX(품목_기준정보!$D$6:$D$25,MATCH(E23,품목_기준정보!$B$6:$B$25,0)),""))</f>
        <v/>
      </c>
      <c r="G23" s="7" t="n"/>
      <c r="H23" s="7" t="n"/>
      <c r="I23" s="6" t="n"/>
      <c r="J23" s="6" t="n"/>
      <c r="K23" s="5" t="n"/>
      <c r="L23" s="17">
        <f>IF(E23="","",IF(OR(G23&lt;0,H23&lt;0),"음수 오류",IF(ISNA(MATCH(E23,품목_기준정보!$B$6:$B$25,0)),"미등록 품목",IF(COUNTIF($B$4:$B$100,B23)&gt;1,"중복 전표","정상"))))</f>
        <v/>
      </c>
    </row>
    <row r="24">
      <c r="A24" s="5" t="n"/>
      <c r="B24" s="5" t="n"/>
      <c r="C24" s="5" t="n"/>
      <c r="D24" s="17">
        <f>IF(E24="","",IFERROR(INDEX(품목_기준정보!$C$6:$C$25,MATCH(E24,품목_기준정보!$B$6:$B$25,0)),"미등록 품목"))</f>
        <v/>
      </c>
      <c r="E24" s="6" t="n"/>
      <c r="F24" s="17">
        <f>IF(E24="","",IFERROR(INDEX(품목_기준정보!$D$6:$D$25,MATCH(E24,품목_기준정보!$B$6:$B$25,0)),""))</f>
        <v/>
      </c>
      <c r="G24" s="7" t="n"/>
      <c r="H24" s="7" t="n"/>
      <c r="I24" s="6" t="n"/>
      <c r="J24" s="6" t="n"/>
      <c r="K24" s="5" t="n"/>
      <c r="L24" s="17">
        <f>IF(E24="","",IF(OR(G24&lt;0,H24&lt;0),"음수 오류",IF(ISNA(MATCH(E24,품목_기준정보!$B$6:$B$25,0)),"미등록 품목",IF(COUNTIF($B$4:$B$100,B24)&gt;1,"중복 전표","정상"))))</f>
        <v/>
      </c>
    </row>
    <row r="25">
      <c r="A25" s="5" t="n"/>
      <c r="B25" s="5" t="n"/>
      <c r="C25" s="5" t="n"/>
      <c r="D25" s="17">
        <f>IF(E25="","",IFERROR(INDEX(품목_기준정보!$C$6:$C$25,MATCH(E25,품목_기준정보!$B$6:$B$25,0)),"미등록 품목"))</f>
        <v/>
      </c>
      <c r="E25" s="6" t="n"/>
      <c r="F25" s="17">
        <f>IF(E25="","",IFERROR(INDEX(품목_기준정보!$D$6:$D$25,MATCH(E25,품목_기준정보!$B$6:$B$25,0)),""))</f>
        <v/>
      </c>
      <c r="G25" s="7" t="n"/>
      <c r="H25" s="7" t="n"/>
      <c r="I25" s="6" t="n"/>
      <c r="J25" s="6" t="n"/>
      <c r="K25" s="5" t="n"/>
      <c r="L25" s="17">
        <f>IF(E25="","",IF(OR(G25&lt;0,H25&lt;0),"음수 오류",IF(ISNA(MATCH(E25,품목_기준정보!$B$6:$B$25,0)),"미등록 품목",IF(COUNTIF($B$4:$B$100,B25)&gt;1,"중복 전표","정상"))))</f>
        <v/>
      </c>
    </row>
    <row r="26">
      <c r="A26" s="5" t="n"/>
      <c r="B26" s="5" t="n"/>
      <c r="C26" s="5" t="n"/>
      <c r="D26" s="17">
        <f>IF(E26="","",IFERROR(INDEX(품목_기준정보!$C$6:$C$25,MATCH(E26,품목_기준정보!$B$6:$B$25,0)),"미등록 품목"))</f>
        <v/>
      </c>
      <c r="E26" s="6" t="n"/>
      <c r="F26" s="17">
        <f>IF(E26="","",IFERROR(INDEX(품목_기준정보!$D$6:$D$25,MATCH(E26,품목_기준정보!$B$6:$B$25,0)),""))</f>
        <v/>
      </c>
      <c r="G26" s="7" t="n"/>
      <c r="H26" s="7" t="n"/>
      <c r="I26" s="6" t="n"/>
      <c r="J26" s="6" t="n"/>
      <c r="K26" s="5" t="n"/>
      <c r="L26" s="17">
        <f>IF(E26="","",IF(OR(G26&lt;0,H26&lt;0),"음수 오류",IF(ISNA(MATCH(E26,품목_기준정보!$B$6:$B$25,0)),"미등록 품목",IF(COUNTIF($B$4:$B$100,B26)&gt;1,"중복 전표","정상"))))</f>
        <v/>
      </c>
    </row>
    <row r="27">
      <c r="A27" s="5" t="n"/>
      <c r="B27" s="5" t="n"/>
      <c r="C27" s="5" t="n"/>
      <c r="D27" s="17">
        <f>IF(E27="","",IFERROR(INDEX(품목_기준정보!$C$6:$C$25,MATCH(E27,품목_기준정보!$B$6:$B$25,0)),"미등록 품목"))</f>
        <v/>
      </c>
      <c r="E27" s="6" t="n"/>
      <c r="F27" s="17">
        <f>IF(E27="","",IFERROR(INDEX(품목_기준정보!$D$6:$D$25,MATCH(E27,품목_기준정보!$B$6:$B$25,0)),""))</f>
        <v/>
      </c>
      <c r="G27" s="7" t="n"/>
      <c r="H27" s="7" t="n"/>
      <c r="I27" s="6" t="n"/>
      <c r="J27" s="6" t="n"/>
      <c r="K27" s="5" t="n"/>
      <c r="L27" s="17">
        <f>IF(E27="","",IF(OR(G27&lt;0,H27&lt;0),"음수 오류",IF(ISNA(MATCH(E27,품목_기준정보!$B$6:$B$25,0)),"미등록 품목",IF(COUNTIF($B$4:$B$100,B27)&gt;1,"중복 전표","정상"))))</f>
        <v/>
      </c>
    </row>
    <row r="28">
      <c r="A28" s="5" t="n"/>
      <c r="B28" s="5" t="n"/>
      <c r="C28" s="5" t="n"/>
      <c r="D28" s="17">
        <f>IF(E28="","",IFERROR(INDEX(품목_기준정보!$C$6:$C$25,MATCH(E28,품목_기준정보!$B$6:$B$25,0)),"미등록 품목"))</f>
        <v/>
      </c>
      <c r="E28" s="6" t="n"/>
      <c r="F28" s="17">
        <f>IF(E28="","",IFERROR(INDEX(품목_기준정보!$D$6:$D$25,MATCH(E28,품목_기준정보!$B$6:$B$25,0)),""))</f>
        <v/>
      </c>
      <c r="G28" s="7" t="n"/>
      <c r="H28" s="7" t="n"/>
      <c r="I28" s="6" t="n"/>
      <c r="J28" s="6" t="n"/>
      <c r="K28" s="5" t="n"/>
      <c r="L28" s="17">
        <f>IF(E28="","",IF(OR(G28&lt;0,H28&lt;0),"음수 오류",IF(ISNA(MATCH(E28,품목_기준정보!$B$6:$B$25,0)),"미등록 품목",IF(COUNTIF($B$4:$B$100,B28)&gt;1,"중복 전표","정상"))))</f>
        <v/>
      </c>
    </row>
    <row r="29">
      <c r="A29" s="5" t="n"/>
      <c r="B29" s="5" t="n"/>
      <c r="C29" s="5" t="n"/>
      <c r="D29" s="17">
        <f>IF(E29="","",IFERROR(INDEX(품목_기준정보!$C$6:$C$25,MATCH(E29,품목_기준정보!$B$6:$B$25,0)),"미등록 품목"))</f>
        <v/>
      </c>
      <c r="E29" s="6" t="n"/>
      <c r="F29" s="17">
        <f>IF(E29="","",IFERROR(INDEX(품목_기준정보!$D$6:$D$25,MATCH(E29,품목_기준정보!$B$6:$B$25,0)),""))</f>
        <v/>
      </c>
      <c r="G29" s="7" t="n"/>
      <c r="H29" s="7" t="n"/>
      <c r="I29" s="6" t="n"/>
      <c r="J29" s="6" t="n"/>
      <c r="K29" s="5" t="n"/>
      <c r="L29" s="17">
        <f>IF(E29="","",IF(OR(G29&lt;0,H29&lt;0),"음수 오류",IF(ISNA(MATCH(E29,품목_기준정보!$B$6:$B$25,0)),"미등록 품목",IF(COUNTIF($B$4:$B$100,B29)&gt;1,"중복 전표","정상"))))</f>
        <v/>
      </c>
    </row>
    <row r="30">
      <c r="A30" s="5" t="n"/>
      <c r="B30" s="5" t="n"/>
      <c r="C30" s="5" t="n"/>
      <c r="D30" s="17">
        <f>IF(E30="","",IFERROR(INDEX(품목_기준정보!$C$6:$C$25,MATCH(E30,품목_기준정보!$B$6:$B$25,0)),"미등록 품목"))</f>
        <v/>
      </c>
      <c r="E30" s="6" t="n"/>
      <c r="F30" s="17">
        <f>IF(E30="","",IFERROR(INDEX(품목_기준정보!$D$6:$D$25,MATCH(E30,품목_기준정보!$B$6:$B$25,0)),""))</f>
        <v/>
      </c>
      <c r="G30" s="7" t="n"/>
      <c r="H30" s="7" t="n"/>
      <c r="I30" s="6" t="n"/>
      <c r="J30" s="6" t="n"/>
      <c r="K30" s="5" t="n"/>
      <c r="L30" s="17">
        <f>IF(E30="","",IF(OR(G30&lt;0,H30&lt;0),"음수 오류",IF(ISNA(MATCH(E30,품목_기준정보!$B$6:$B$25,0)),"미등록 품목",IF(COUNTIF($B$4:$B$100,B30)&gt;1,"중복 전표","정상"))))</f>
        <v/>
      </c>
    </row>
    <row r="31">
      <c r="A31" s="5" t="n"/>
      <c r="B31" s="5" t="n"/>
      <c r="C31" s="5" t="n"/>
      <c r="D31" s="17">
        <f>IF(E31="","",IFERROR(INDEX(품목_기준정보!$C$6:$C$25,MATCH(E31,품목_기준정보!$B$6:$B$25,0)),"미등록 품목"))</f>
        <v/>
      </c>
      <c r="E31" s="6" t="n"/>
      <c r="F31" s="17">
        <f>IF(E31="","",IFERROR(INDEX(품목_기준정보!$D$6:$D$25,MATCH(E31,품목_기준정보!$B$6:$B$25,0)),""))</f>
        <v/>
      </c>
      <c r="G31" s="7" t="n"/>
      <c r="H31" s="7" t="n"/>
      <c r="I31" s="6" t="n"/>
      <c r="J31" s="6" t="n"/>
      <c r="K31" s="5" t="n"/>
      <c r="L31" s="17">
        <f>IF(E31="","",IF(OR(G31&lt;0,H31&lt;0),"음수 오류",IF(ISNA(MATCH(E31,품목_기준정보!$B$6:$B$25,0)),"미등록 품목",IF(COUNTIF($B$4:$B$100,B31)&gt;1,"중복 전표","정상"))))</f>
        <v/>
      </c>
    </row>
    <row r="32">
      <c r="A32" s="5" t="n"/>
      <c r="B32" s="5" t="n"/>
      <c r="C32" s="5" t="n"/>
      <c r="D32" s="17">
        <f>IF(E32="","",IFERROR(INDEX(품목_기준정보!$C$6:$C$25,MATCH(E32,품목_기준정보!$B$6:$B$25,0)),"미등록 품목"))</f>
        <v/>
      </c>
      <c r="E32" s="6" t="n"/>
      <c r="F32" s="17">
        <f>IF(E32="","",IFERROR(INDEX(품목_기준정보!$D$6:$D$25,MATCH(E32,품목_기준정보!$B$6:$B$25,0)),""))</f>
        <v/>
      </c>
      <c r="G32" s="7" t="n"/>
      <c r="H32" s="7" t="n"/>
      <c r="I32" s="6" t="n"/>
      <c r="J32" s="6" t="n"/>
      <c r="K32" s="5" t="n"/>
      <c r="L32" s="17">
        <f>IF(E32="","",IF(OR(G32&lt;0,H32&lt;0),"음수 오류",IF(ISNA(MATCH(E32,품목_기준정보!$B$6:$B$25,0)),"미등록 품목",IF(COUNTIF($B$4:$B$100,B32)&gt;1,"중복 전표","정상"))))</f>
        <v/>
      </c>
    </row>
    <row r="33">
      <c r="A33" s="5" t="n"/>
      <c r="B33" s="5" t="n"/>
      <c r="C33" s="5" t="n"/>
      <c r="D33" s="17">
        <f>IF(E33="","",IFERROR(INDEX(품목_기준정보!$C$6:$C$25,MATCH(E33,품목_기준정보!$B$6:$B$25,0)),"미등록 품목"))</f>
        <v/>
      </c>
      <c r="E33" s="6" t="n"/>
      <c r="F33" s="17">
        <f>IF(E33="","",IFERROR(INDEX(품목_기준정보!$D$6:$D$25,MATCH(E33,품목_기준정보!$B$6:$B$25,0)),""))</f>
        <v/>
      </c>
      <c r="G33" s="7" t="n"/>
      <c r="H33" s="7" t="n"/>
      <c r="I33" s="6" t="n"/>
      <c r="J33" s="6" t="n"/>
      <c r="K33" s="5" t="n"/>
      <c r="L33" s="17">
        <f>IF(E33="","",IF(OR(G33&lt;0,H33&lt;0),"음수 오류",IF(ISNA(MATCH(E33,품목_기준정보!$B$6:$B$25,0)),"미등록 품목",IF(COUNTIF($B$4:$B$100,B33)&gt;1,"중복 전표","정상"))))</f>
        <v/>
      </c>
    </row>
    <row r="34">
      <c r="A34" s="5" t="n"/>
      <c r="B34" s="5" t="n"/>
      <c r="C34" s="5" t="n"/>
      <c r="D34" s="17">
        <f>IF(E34="","",IFERROR(INDEX(품목_기준정보!$C$6:$C$25,MATCH(E34,품목_기준정보!$B$6:$B$25,0)),"미등록 품목"))</f>
        <v/>
      </c>
      <c r="E34" s="6" t="n"/>
      <c r="F34" s="17">
        <f>IF(E34="","",IFERROR(INDEX(품목_기준정보!$D$6:$D$25,MATCH(E34,품목_기준정보!$B$6:$B$25,0)),""))</f>
        <v/>
      </c>
      <c r="G34" s="7" t="n"/>
      <c r="H34" s="7" t="n"/>
      <c r="I34" s="6" t="n"/>
      <c r="J34" s="6" t="n"/>
      <c r="K34" s="5" t="n"/>
      <c r="L34" s="17">
        <f>IF(E34="","",IF(OR(G34&lt;0,H34&lt;0),"음수 오류",IF(ISNA(MATCH(E34,품목_기준정보!$B$6:$B$25,0)),"미등록 품목",IF(COUNTIF($B$4:$B$100,B34)&gt;1,"중복 전표","정상"))))</f>
        <v/>
      </c>
    </row>
    <row r="35">
      <c r="A35" s="5" t="n"/>
      <c r="B35" s="5" t="n"/>
      <c r="C35" s="5" t="n"/>
      <c r="D35" s="17">
        <f>IF(E35="","",IFERROR(INDEX(품목_기준정보!$C$6:$C$25,MATCH(E35,품목_기준정보!$B$6:$B$25,0)),"미등록 품목"))</f>
        <v/>
      </c>
      <c r="E35" s="6" t="n"/>
      <c r="F35" s="17">
        <f>IF(E35="","",IFERROR(INDEX(품목_기준정보!$D$6:$D$25,MATCH(E35,품목_기준정보!$B$6:$B$25,0)),""))</f>
        <v/>
      </c>
      <c r="G35" s="7" t="n"/>
      <c r="H35" s="7" t="n"/>
      <c r="I35" s="6" t="n"/>
      <c r="J35" s="6" t="n"/>
      <c r="K35" s="5" t="n"/>
      <c r="L35" s="17">
        <f>IF(E35="","",IF(OR(G35&lt;0,H35&lt;0),"음수 오류",IF(ISNA(MATCH(E35,품목_기준정보!$B$6:$B$25,0)),"미등록 품목",IF(COUNTIF($B$4:$B$100,B35)&gt;1,"중복 전표","정상"))))</f>
        <v/>
      </c>
    </row>
    <row r="36">
      <c r="A36" s="5" t="n"/>
      <c r="B36" s="5" t="n"/>
      <c r="C36" s="5" t="n"/>
      <c r="D36" s="17">
        <f>IF(E36="","",IFERROR(INDEX(품목_기준정보!$C$6:$C$25,MATCH(E36,품목_기준정보!$B$6:$B$25,0)),"미등록 품목"))</f>
        <v/>
      </c>
      <c r="E36" s="6" t="n"/>
      <c r="F36" s="17">
        <f>IF(E36="","",IFERROR(INDEX(품목_기준정보!$D$6:$D$25,MATCH(E36,품목_기준정보!$B$6:$B$25,0)),""))</f>
        <v/>
      </c>
      <c r="G36" s="7" t="n"/>
      <c r="H36" s="7" t="n"/>
      <c r="I36" s="6" t="n"/>
      <c r="J36" s="6" t="n"/>
      <c r="K36" s="5" t="n"/>
      <c r="L36" s="17">
        <f>IF(E36="","",IF(OR(G36&lt;0,H36&lt;0),"음수 오류",IF(ISNA(MATCH(E36,품목_기준정보!$B$6:$B$25,0)),"미등록 품목",IF(COUNTIF($B$4:$B$100,B36)&gt;1,"중복 전표","정상"))))</f>
        <v/>
      </c>
    </row>
    <row r="37">
      <c r="A37" s="5" t="n"/>
      <c r="B37" s="5" t="n"/>
      <c r="C37" s="5" t="n"/>
      <c r="D37" s="17">
        <f>IF(E37="","",IFERROR(INDEX(품목_기준정보!$C$6:$C$25,MATCH(E37,품목_기준정보!$B$6:$B$25,0)),"미등록 품목"))</f>
        <v/>
      </c>
      <c r="E37" s="6" t="n"/>
      <c r="F37" s="17">
        <f>IF(E37="","",IFERROR(INDEX(품목_기준정보!$D$6:$D$25,MATCH(E37,품목_기준정보!$B$6:$B$25,0)),""))</f>
        <v/>
      </c>
      <c r="G37" s="7" t="n"/>
      <c r="H37" s="7" t="n"/>
      <c r="I37" s="6" t="n"/>
      <c r="J37" s="6" t="n"/>
      <c r="K37" s="5" t="n"/>
      <c r="L37" s="17">
        <f>IF(E37="","",IF(OR(G37&lt;0,H37&lt;0),"음수 오류",IF(ISNA(MATCH(E37,품목_기준정보!$B$6:$B$25,0)),"미등록 품목",IF(COUNTIF($B$4:$B$100,B37)&gt;1,"중복 전표","정상"))))</f>
        <v/>
      </c>
    </row>
    <row r="38">
      <c r="A38" s="5" t="n"/>
      <c r="B38" s="5" t="n"/>
      <c r="C38" s="5" t="n"/>
      <c r="D38" s="17">
        <f>IF(E38="","",IFERROR(INDEX(품목_기준정보!$C$6:$C$25,MATCH(E38,품목_기준정보!$B$6:$B$25,0)),"미등록 품목"))</f>
        <v/>
      </c>
      <c r="E38" s="6" t="n"/>
      <c r="F38" s="17">
        <f>IF(E38="","",IFERROR(INDEX(품목_기준정보!$D$6:$D$25,MATCH(E38,품목_기준정보!$B$6:$B$25,0)),""))</f>
        <v/>
      </c>
      <c r="G38" s="7" t="n"/>
      <c r="H38" s="7" t="n"/>
      <c r="I38" s="6" t="n"/>
      <c r="J38" s="6" t="n"/>
      <c r="K38" s="5" t="n"/>
      <c r="L38" s="17">
        <f>IF(E38="","",IF(OR(G38&lt;0,H38&lt;0),"음수 오류",IF(ISNA(MATCH(E38,품목_기준정보!$B$6:$B$25,0)),"미등록 품목",IF(COUNTIF($B$4:$B$100,B38)&gt;1,"중복 전표","정상"))))</f>
        <v/>
      </c>
    </row>
    <row r="39">
      <c r="A39" s="5" t="n"/>
      <c r="B39" s="5" t="n"/>
      <c r="C39" s="5" t="n"/>
      <c r="D39" s="17">
        <f>IF(E39="","",IFERROR(INDEX(품목_기준정보!$C$6:$C$25,MATCH(E39,품목_기준정보!$B$6:$B$25,0)),"미등록 품목"))</f>
        <v/>
      </c>
      <c r="E39" s="6" t="n"/>
      <c r="F39" s="17">
        <f>IF(E39="","",IFERROR(INDEX(품목_기준정보!$D$6:$D$25,MATCH(E39,품목_기준정보!$B$6:$B$25,0)),""))</f>
        <v/>
      </c>
      <c r="G39" s="7" t="n"/>
      <c r="H39" s="7" t="n"/>
      <c r="I39" s="6" t="n"/>
      <c r="J39" s="6" t="n"/>
      <c r="K39" s="5" t="n"/>
      <c r="L39" s="17">
        <f>IF(E39="","",IF(OR(G39&lt;0,H39&lt;0),"음수 오류",IF(ISNA(MATCH(E39,품목_기준정보!$B$6:$B$25,0)),"미등록 품목",IF(COUNTIF($B$4:$B$100,B39)&gt;1,"중복 전표","정상"))))</f>
        <v/>
      </c>
    </row>
    <row r="40">
      <c r="A40" s="5" t="n"/>
      <c r="B40" s="5" t="n"/>
      <c r="C40" s="5" t="n"/>
      <c r="D40" s="17">
        <f>IF(E40="","",IFERROR(INDEX(품목_기준정보!$C$6:$C$25,MATCH(E40,품목_기준정보!$B$6:$B$25,0)),"미등록 품목"))</f>
        <v/>
      </c>
      <c r="E40" s="6" t="n"/>
      <c r="F40" s="17">
        <f>IF(E40="","",IFERROR(INDEX(품목_기준정보!$D$6:$D$25,MATCH(E40,품목_기준정보!$B$6:$B$25,0)),""))</f>
        <v/>
      </c>
      <c r="G40" s="7" t="n"/>
      <c r="H40" s="7" t="n"/>
      <c r="I40" s="6" t="n"/>
      <c r="J40" s="6" t="n"/>
      <c r="K40" s="5" t="n"/>
      <c r="L40" s="17">
        <f>IF(E40="","",IF(OR(G40&lt;0,H40&lt;0),"음수 오류",IF(ISNA(MATCH(E40,품목_기준정보!$B$6:$B$25,0)),"미등록 품목",IF(COUNTIF($B$4:$B$100,B40)&gt;1,"중복 전표","정상"))))</f>
        <v/>
      </c>
    </row>
    <row r="41">
      <c r="A41" s="5" t="n"/>
      <c r="B41" s="5" t="n"/>
      <c r="C41" s="5" t="n"/>
      <c r="D41" s="17">
        <f>IF(E41="","",IFERROR(INDEX(품목_기준정보!$C$6:$C$25,MATCH(E41,품목_기준정보!$B$6:$B$25,0)),"미등록 품목"))</f>
        <v/>
      </c>
      <c r="E41" s="6" t="n"/>
      <c r="F41" s="17">
        <f>IF(E41="","",IFERROR(INDEX(품목_기준정보!$D$6:$D$25,MATCH(E41,품목_기준정보!$B$6:$B$25,0)),""))</f>
        <v/>
      </c>
      <c r="G41" s="7" t="n"/>
      <c r="H41" s="7" t="n"/>
      <c r="I41" s="6" t="n"/>
      <c r="J41" s="6" t="n"/>
      <c r="K41" s="5" t="n"/>
      <c r="L41" s="17">
        <f>IF(E41="","",IF(OR(G41&lt;0,H41&lt;0),"음수 오류",IF(ISNA(MATCH(E41,품목_기준정보!$B$6:$B$25,0)),"미등록 품목",IF(COUNTIF($B$4:$B$100,B41)&gt;1,"중복 전표","정상"))))</f>
        <v/>
      </c>
    </row>
    <row r="42">
      <c r="A42" s="5" t="n"/>
      <c r="B42" s="5" t="n"/>
      <c r="C42" s="5" t="n"/>
      <c r="D42" s="17">
        <f>IF(E42="","",IFERROR(INDEX(품목_기준정보!$C$6:$C$25,MATCH(E42,품목_기준정보!$B$6:$B$25,0)),"미등록 품목"))</f>
        <v/>
      </c>
      <c r="E42" s="6" t="n"/>
      <c r="F42" s="17">
        <f>IF(E42="","",IFERROR(INDEX(품목_기준정보!$D$6:$D$25,MATCH(E42,품목_기준정보!$B$6:$B$25,0)),""))</f>
        <v/>
      </c>
      <c r="G42" s="7" t="n"/>
      <c r="H42" s="7" t="n"/>
      <c r="I42" s="6" t="n"/>
      <c r="J42" s="6" t="n"/>
      <c r="K42" s="5" t="n"/>
      <c r="L42" s="17">
        <f>IF(E42="","",IF(OR(G42&lt;0,H42&lt;0),"음수 오류",IF(ISNA(MATCH(E42,품목_기준정보!$B$6:$B$25,0)),"미등록 품목",IF(COUNTIF($B$4:$B$100,B42)&gt;1,"중복 전표","정상"))))</f>
        <v/>
      </c>
    </row>
    <row r="43">
      <c r="A43" s="5" t="n"/>
      <c r="B43" s="5" t="n"/>
      <c r="C43" s="5" t="n"/>
      <c r="D43" s="17">
        <f>IF(E43="","",IFERROR(INDEX(품목_기준정보!$C$6:$C$25,MATCH(E43,품목_기준정보!$B$6:$B$25,0)),"미등록 품목"))</f>
        <v/>
      </c>
      <c r="E43" s="6" t="n"/>
      <c r="F43" s="17">
        <f>IF(E43="","",IFERROR(INDEX(품목_기준정보!$D$6:$D$25,MATCH(E43,품목_기준정보!$B$6:$B$25,0)),""))</f>
        <v/>
      </c>
      <c r="G43" s="7" t="n"/>
      <c r="H43" s="7" t="n"/>
      <c r="I43" s="6" t="n"/>
      <c r="J43" s="6" t="n"/>
      <c r="K43" s="5" t="n"/>
      <c r="L43" s="17">
        <f>IF(E43="","",IF(OR(G43&lt;0,H43&lt;0),"음수 오류",IF(ISNA(MATCH(E43,품목_기준정보!$B$6:$B$25,0)),"미등록 품목",IF(COUNTIF($B$4:$B$100,B43)&gt;1,"중복 전표","정상"))))</f>
        <v/>
      </c>
    </row>
    <row r="44">
      <c r="A44" s="5" t="n"/>
      <c r="B44" s="5" t="n"/>
      <c r="C44" s="5" t="n"/>
      <c r="D44" s="17">
        <f>IF(E44="","",IFERROR(INDEX(품목_기준정보!$C$6:$C$25,MATCH(E44,품목_기준정보!$B$6:$B$25,0)),"미등록 품목"))</f>
        <v/>
      </c>
      <c r="E44" s="6" t="n"/>
      <c r="F44" s="17">
        <f>IF(E44="","",IFERROR(INDEX(품목_기준정보!$D$6:$D$25,MATCH(E44,품목_기준정보!$B$6:$B$25,0)),""))</f>
        <v/>
      </c>
      <c r="G44" s="7" t="n"/>
      <c r="H44" s="7" t="n"/>
      <c r="I44" s="6" t="n"/>
      <c r="J44" s="6" t="n"/>
      <c r="K44" s="5" t="n"/>
      <c r="L44" s="17">
        <f>IF(E44="","",IF(OR(G44&lt;0,H44&lt;0),"음수 오류",IF(ISNA(MATCH(E44,품목_기준정보!$B$6:$B$25,0)),"미등록 품목",IF(COUNTIF($B$4:$B$100,B44)&gt;1,"중복 전표","정상"))))</f>
        <v/>
      </c>
    </row>
    <row r="45">
      <c r="A45" s="5" t="n"/>
      <c r="B45" s="5" t="n"/>
      <c r="C45" s="5" t="n"/>
      <c r="D45" s="17">
        <f>IF(E45="","",IFERROR(INDEX(품목_기준정보!$C$6:$C$25,MATCH(E45,품목_기준정보!$B$6:$B$25,0)),"미등록 품목"))</f>
        <v/>
      </c>
      <c r="E45" s="6" t="n"/>
      <c r="F45" s="17">
        <f>IF(E45="","",IFERROR(INDEX(품목_기준정보!$D$6:$D$25,MATCH(E45,품목_기준정보!$B$6:$B$25,0)),""))</f>
        <v/>
      </c>
      <c r="G45" s="7" t="n"/>
      <c r="H45" s="7" t="n"/>
      <c r="I45" s="6" t="n"/>
      <c r="J45" s="6" t="n"/>
      <c r="K45" s="5" t="n"/>
      <c r="L45" s="17">
        <f>IF(E45="","",IF(OR(G45&lt;0,H45&lt;0),"음수 오류",IF(ISNA(MATCH(E45,품목_기준정보!$B$6:$B$25,0)),"미등록 품목",IF(COUNTIF($B$4:$B$100,B45)&gt;1,"중복 전표","정상"))))</f>
        <v/>
      </c>
    </row>
    <row r="46">
      <c r="A46" s="5" t="n"/>
      <c r="B46" s="5" t="n"/>
      <c r="C46" s="5" t="n"/>
      <c r="D46" s="17">
        <f>IF(E46="","",IFERROR(INDEX(품목_기준정보!$C$6:$C$25,MATCH(E46,품목_기준정보!$B$6:$B$25,0)),"미등록 품목"))</f>
        <v/>
      </c>
      <c r="E46" s="6" t="n"/>
      <c r="F46" s="17">
        <f>IF(E46="","",IFERROR(INDEX(품목_기준정보!$D$6:$D$25,MATCH(E46,품목_기준정보!$B$6:$B$25,0)),""))</f>
        <v/>
      </c>
      <c r="G46" s="7" t="n"/>
      <c r="H46" s="7" t="n"/>
      <c r="I46" s="6" t="n"/>
      <c r="J46" s="6" t="n"/>
      <c r="K46" s="5" t="n"/>
      <c r="L46" s="17">
        <f>IF(E46="","",IF(OR(G46&lt;0,H46&lt;0),"음수 오류",IF(ISNA(MATCH(E46,품목_기준정보!$B$6:$B$25,0)),"미등록 품목",IF(COUNTIF($B$4:$B$100,B46)&gt;1,"중복 전표","정상"))))</f>
        <v/>
      </c>
    </row>
    <row r="47">
      <c r="A47" s="5" t="n"/>
      <c r="B47" s="5" t="n"/>
      <c r="C47" s="5" t="n"/>
      <c r="D47" s="17">
        <f>IF(E47="","",IFERROR(INDEX(품목_기준정보!$C$6:$C$25,MATCH(E47,품목_기준정보!$B$6:$B$25,0)),"미등록 품목"))</f>
        <v/>
      </c>
      <c r="E47" s="6" t="n"/>
      <c r="F47" s="17">
        <f>IF(E47="","",IFERROR(INDEX(품목_기준정보!$D$6:$D$25,MATCH(E47,품목_기준정보!$B$6:$B$25,0)),""))</f>
        <v/>
      </c>
      <c r="G47" s="7" t="n"/>
      <c r="H47" s="7" t="n"/>
      <c r="I47" s="6" t="n"/>
      <c r="J47" s="6" t="n"/>
      <c r="K47" s="5" t="n"/>
      <c r="L47" s="17">
        <f>IF(E47="","",IF(OR(G47&lt;0,H47&lt;0),"음수 오류",IF(ISNA(MATCH(E47,품목_기준정보!$B$6:$B$25,0)),"미등록 품목",IF(COUNTIF($B$4:$B$100,B47)&gt;1,"중복 전표","정상"))))</f>
        <v/>
      </c>
    </row>
    <row r="48">
      <c r="A48" s="5" t="n"/>
      <c r="B48" s="5" t="n"/>
      <c r="C48" s="5" t="n"/>
      <c r="D48" s="17">
        <f>IF(E48="","",IFERROR(INDEX(품목_기준정보!$C$6:$C$25,MATCH(E48,품목_기준정보!$B$6:$B$25,0)),"미등록 품목"))</f>
        <v/>
      </c>
      <c r="E48" s="6" t="n"/>
      <c r="F48" s="17">
        <f>IF(E48="","",IFERROR(INDEX(품목_기준정보!$D$6:$D$25,MATCH(E48,품목_기준정보!$B$6:$B$25,0)),""))</f>
        <v/>
      </c>
      <c r="G48" s="7" t="n"/>
      <c r="H48" s="7" t="n"/>
      <c r="I48" s="6" t="n"/>
      <c r="J48" s="6" t="n"/>
      <c r="K48" s="5" t="n"/>
      <c r="L48" s="17">
        <f>IF(E48="","",IF(OR(G48&lt;0,H48&lt;0),"음수 오류",IF(ISNA(MATCH(E48,품목_기준정보!$B$6:$B$25,0)),"미등록 품목",IF(COUNTIF($B$4:$B$100,B48)&gt;1,"중복 전표","정상"))))</f>
        <v/>
      </c>
    </row>
    <row r="49">
      <c r="A49" s="5" t="n"/>
      <c r="B49" s="5" t="n"/>
      <c r="C49" s="5" t="n"/>
      <c r="D49" s="17">
        <f>IF(E49="","",IFERROR(INDEX(품목_기준정보!$C$6:$C$25,MATCH(E49,품목_기준정보!$B$6:$B$25,0)),"미등록 품목"))</f>
        <v/>
      </c>
      <c r="E49" s="6" t="n"/>
      <c r="F49" s="17">
        <f>IF(E49="","",IFERROR(INDEX(품목_기준정보!$D$6:$D$25,MATCH(E49,품목_기준정보!$B$6:$B$25,0)),""))</f>
        <v/>
      </c>
      <c r="G49" s="7" t="n"/>
      <c r="H49" s="7" t="n"/>
      <c r="I49" s="6" t="n"/>
      <c r="J49" s="6" t="n"/>
      <c r="K49" s="5" t="n"/>
      <c r="L49" s="17">
        <f>IF(E49="","",IF(OR(G49&lt;0,H49&lt;0),"음수 오류",IF(ISNA(MATCH(E49,품목_기준정보!$B$6:$B$25,0)),"미등록 품목",IF(COUNTIF($B$4:$B$100,B49)&gt;1,"중복 전표","정상"))))</f>
        <v/>
      </c>
    </row>
    <row r="50">
      <c r="A50" s="5" t="n"/>
      <c r="B50" s="5" t="n"/>
      <c r="C50" s="5" t="n"/>
      <c r="D50" s="17">
        <f>IF(E50="","",IFERROR(INDEX(품목_기준정보!$C$6:$C$25,MATCH(E50,품목_기준정보!$B$6:$B$25,0)),"미등록 품목"))</f>
        <v/>
      </c>
      <c r="E50" s="6" t="n"/>
      <c r="F50" s="17">
        <f>IF(E50="","",IFERROR(INDEX(품목_기준정보!$D$6:$D$25,MATCH(E50,품목_기준정보!$B$6:$B$25,0)),""))</f>
        <v/>
      </c>
      <c r="G50" s="7" t="n"/>
      <c r="H50" s="7" t="n"/>
      <c r="I50" s="6" t="n"/>
      <c r="J50" s="6" t="n"/>
      <c r="K50" s="5" t="n"/>
      <c r="L50" s="17">
        <f>IF(E50="","",IF(OR(G50&lt;0,H50&lt;0),"음수 오류",IF(ISNA(MATCH(E50,품목_기준정보!$B$6:$B$25,0)),"미등록 품목",IF(COUNTIF($B$4:$B$100,B50)&gt;1,"중복 전표","정상"))))</f>
        <v/>
      </c>
    </row>
    <row r="51">
      <c r="A51" s="5" t="n"/>
      <c r="B51" s="5" t="n"/>
      <c r="C51" s="5" t="n"/>
      <c r="D51" s="17">
        <f>IF(E51="","",IFERROR(INDEX(품목_기준정보!$C$6:$C$25,MATCH(E51,품목_기준정보!$B$6:$B$25,0)),"미등록 품목"))</f>
        <v/>
      </c>
      <c r="E51" s="6" t="n"/>
      <c r="F51" s="17">
        <f>IF(E51="","",IFERROR(INDEX(품목_기준정보!$D$6:$D$25,MATCH(E51,품목_기준정보!$B$6:$B$25,0)),""))</f>
        <v/>
      </c>
      <c r="G51" s="7" t="n"/>
      <c r="H51" s="7" t="n"/>
      <c r="I51" s="6" t="n"/>
      <c r="J51" s="6" t="n"/>
      <c r="K51" s="5" t="n"/>
      <c r="L51" s="17">
        <f>IF(E51="","",IF(OR(G51&lt;0,H51&lt;0),"음수 오류",IF(ISNA(MATCH(E51,품목_기준정보!$B$6:$B$25,0)),"미등록 품목",IF(COUNTIF($B$4:$B$100,B51)&gt;1,"중복 전표","정상"))))</f>
        <v/>
      </c>
    </row>
    <row r="52">
      <c r="A52" s="5" t="n"/>
      <c r="B52" s="5" t="n"/>
      <c r="C52" s="5" t="n"/>
      <c r="D52" s="17">
        <f>IF(E52="","",IFERROR(INDEX(품목_기준정보!$C$6:$C$25,MATCH(E52,품목_기준정보!$B$6:$B$25,0)),"미등록 품목"))</f>
        <v/>
      </c>
      <c r="E52" s="6" t="n"/>
      <c r="F52" s="17">
        <f>IF(E52="","",IFERROR(INDEX(품목_기준정보!$D$6:$D$25,MATCH(E52,품목_기준정보!$B$6:$B$25,0)),""))</f>
        <v/>
      </c>
      <c r="G52" s="7" t="n"/>
      <c r="H52" s="7" t="n"/>
      <c r="I52" s="6" t="n"/>
      <c r="J52" s="6" t="n"/>
      <c r="K52" s="5" t="n"/>
      <c r="L52" s="17">
        <f>IF(E52="","",IF(OR(G52&lt;0,H52&lt;0),"음수 오류",IF(ISNA(MATCH(E52,품목_기준정보!$B$6:$B$25,0)),"미등록 품목",IF(COUNTIF($B$4:$B$100,B52)&gt;1,"중복 전표","정상"))))</f>
        <v/>
      </c>
    </row>
    <row r="53">
      <c r="A53" s="5" t="n"/>
      <c r="B53" s="5" t="n"/>
      <c r="C53" s="5" t="n"/>
      <c r="D53" s="17">
        <f>IF(E53="","",IFERROR(INDEX(품목_기준정보!$C$6:$C$25,MATCH(E53,품목_기준정보!$B$6:$B$25,0)),"미등록 품목"))</f>
        <v/>
      </c>
      <c r="E53" s="6" t="n"/>
      <c r="F53" s="17">
        <f>IF(E53="","",IFERROR(INDEX(품목_기준정보!$D$6:$D$25,MATCH(E53,품목_기준정보!$B$6:$B$25,0)),""))</f>
        <v/>
      </c>
      <c r="G53" s="7" t="n"/>
      <c r="H53" s="7" t="n"/>
      <c r="I53" s="6" t="n"/>
      <c r="J53" s="6" t="n"/>
      <c r="K53" s="5" t="n"/>
      <c r="L53" s="17">
        <f>IF(E53="","",IF(OR(G53&lt;0,H53&lt;0),"음수 오류",IF(ISNA(MATCH(E53,품목_기준정보!$B$6:$B$25,0)),"미등록 품목",IF(COUNTIF($B$4:$B$100,B53)&gt;1,"중복 전표","정상"))))</f>
        <v/>
      </c>
    </row>
    <row r="54">
      <c r="A54" s="5" t="n"/>
      <c r="B54" s="5" t="n"/>
      <c r="C54" s="5" t="n"/>
      <c r="D54" s="17">
        <f>IF(E54="","",IFERROR(INDEX(품목_기준정보!$C$6:$C$25,MATCH(E54,품목_기준정보!$B$6:$B$25,0)),"미등록 품목"))</f>
        <v/>
      </c>
      <c r="E54" s="6" t="n"/>
      <c r="F54" s="17">
        <f>IF(E54="","",IFERROR(INDEX(품목_기준정보!$D$6:$D$25,MATCH(E54,품목_기준정보!$B$6:$B$25,0)),""))</f>
        <v/>
      </c>
      <c r="G54" s="7" t="n"/>
      <c r="H54" s="7" t="n"/>
      <c r="I54" s="6" t="n"/>
      <c r="J54" s="6" t="n"/>
      <c r="K54" s="5" t="n"/>
      <c r="L54" s="17">
        <f>IF(E54="","",IF(OR(G54&lt;0,H54&lt;0),"음수 오류",IF(ISNA(MATCH(E54,품목_기준정보!$B$6:$B$25,0)),"미등록 품목",IF(COUNTIF($B$4:$B$100,B54)&gt;1,"중복 전표","정상"))))</f>
        <v/>
      </c>
    </row>
    <row r="55">
      <c r="A55" s="5" t="n"/>
      <c r="B55" s="5" t="n"/>
      <c r="C55" s="5" t="n"/>
      <c r="D55" s="17">
        <f>IF(E55="","",IFERROR(INDEX(품목_기준정보!$C$6:$C$25,MATCH(E55,품목_기준정보!$B$6:$B$25,0)),"미등록 품목"))</f>
        <v/>
      </c>
      <c r="E55" s="6" t="n"/>
      <c r="F55" s="17">
        <f>IF(E55="","",IFERROR(INDEX(품목_기준정보!$D$6:$D$25,MATCH(E55,품목_기준정보!$B$6:$B$25,0)),""))</f>
        <v/>
      </c>
      <c r="G55" s="7" t="n"/>
      <c r="H55" s="7" t="n"/>
      <c r="I55" s="6" t="n"/>
      <c r="J55" s="6" t="n"/>
      <c r="K55" s="5" t="n"/>
      <c r="L55" s="17">
        <f>IF(E55="","",IF(OR(G55&lt;0,H55&lt;0),"음수 오류",IF(ISNA(MATCH(E55,품목_기준정보!$B$6:$B$25,0)),"미등록 품목",IF(COUNTIF($B$4:$B$100,B55)&gt;1,"중복 전표","정상"))))</f>
        <v/>
      </c>
    </row>
    <row r="56">
      <c r="A56" s="5" t="n"/>
      <c r="B56" s="5" t="n"/>
      <c r="C56" s="5" t="n"/>
      <c r="D56" s="17">
        <f>IF(E56="","",IFERROR(INDEX(품목_기준정보!$C$6:$C$25,MATCH(E56,품목_기준정보!$B$6:$B$25,0)),"미등록 품목"))</f>
        <v/>
      </c>
      <c r="E56" s="6" t="n"/>
      <c r="F56" s="17">
        <f>IF(E56="","",IFERROR(INDEX(품목_기준정보!$D$6:$D$25,MATCH(E56,품목_기준정보!$B$6:$B$25,0)),""))</f>
        <v/>
      </c>
      <c r="G56" s="7" t="n"/>
      <c r="H56" s="7" t="n"/>
      <c r="I56" s="6" t="n"/>
      <c r="J56" s="6" t="n"/>
      <c r="K56" s="5" t="n"/>
      <c r="L56" s="17">
        <f>IF(E56="","",IF(OR(G56&lt;0,H56&lt;0),"음수 오류",IF(ISNA(MATCH(E56,품목_기준정보!$B$6:$B$25,0)),"미등록 품목",IF(COUNTIF($B$4:$B$100,B56)&gt;1,"중복 전표","정상"))))</f>
        <v/>
      </c>
    </row>
    <row r="57">
      <c r="A57" s="5" t="n"/>
      <c r="B57" s="5" t="n"/>
      <c r="C57" s="5" t="n"/>
      <c r="D57" s="17">
        <f>IF(E57="","",IFERROR(INDEX(품목_기준정보!$C$6:$C$25,MATCH(E57,품목_기준정보!$B$6:$B$25,0)),"미등록 품목"))</f>
        <v/>
      </c>
      <c r="E57" s="6" t="n"/>
      <c r="F57" s="17">
        <f>IF(E57="","",IFERROR(INDEX(품목_기준정보!$D$6:$D$25,MATCH(E57,품목_기준정보!$B$6:$B$25,0)),""))</f>
        <v/>
      </c>
      <c r="G57" s="7" t="n"/>
      <c r="H57" s="7" t="n"/>
      <c r="I57" s="6" t="n"/>
      <c r="J57" s="6" t="n"/>
      <c r="K57" s="5" t="n"/>
      <c r="L57" s="17">
        <f>IF(E57="","",IF(OR(G57&lt;0,H57&lt;0),"음수 오류",IF(ISNA(MATCH(E57,품목_기준정보!$B$6:$B$25,0)),"미등록 품목",IF(COUNTIF($B$4:$B$100,B57)&gt;1,"중복 전표","정상"))))</f>
        <v/>
      </c>
    </row>
    <row r="58">
      <c r="A58" s="5" t="n"/>
      <c r="B58" s="5" t="n"/>
      <c r="C58" s="5" t="n"/>
      <c r="D58" s="17">
        <f>IF(E58="","",IFERROR(INDEX(품목_기준정보!$C$6:$C$25,MATCH(E58,품목_기준정보!$B$6:$B$25,0)),"미등록 품목"))</f>
        <v/>
      </c>
      <c r="E58" s="6" t="n"/>
      <c r="F58" s="17">
        <f>IF(E58="","",IFERROR(INDEX(품목_기준정보!$D$6:$D$25,MATCH(E58,품목_기준정보!$B$6:$B$25,0)),""))</f>
        <v/>
      </c>
      <c r="G58" s="7" t="n"/>
      <c r="H58" s="7" t="n"/>
      <c r="I58" s="6" t="n"/>
      <c r="J58" s="6" t="n"/>
      <c r="K58" s="5" t="n"/>
      <c r="L58" s="17">
        <f>IF(E58="","",IF(OR(G58&lt;0,H58&lt;0),"음수 오류",IF(ISNA(MATCH(E58,품목_기준정보!$B$6:$B$25,0)),"미등록 품목",IF(COUNTIF($B$4:$B$100,B58)&gt;1,"중복 전표","정상"))))</f>
        <v/>
      </c>
    </row>
    <row r="59">
      <c r="A59" s="5" t="n"/>
      <c r="B59" s="5" t="n"/>
      <c r="C59" s="5" t="n"/>
      <c r="D59" s="17">
        <f>IF(E59="","",IFERROR(INDEX(품목_기준정보!$C$6:$C$25,MATCH(E59,품목_기준정보!$B$6:$B$25,0)),"미등록 품목"))</f>
        <v/>
      </c>
      <c r="E59" s="6" t="n"/>
      <c r="F59" s="17">
        <f>IF(E59="","",IFERROR(INDEX(품목_기준정보!$D$6:$D$25,MATCH(E59,품목_기준정보!$B$6:$B$25,0)),""))</f>
        <v/>
      </c>
      <c r="G59" s="7" t="n"/>
      <c r="H59" s="7" t="n"/>
      <c r="I59" s="6" t="n"/>
      <c r="J59" s="6" t="n"/>
      <c r="K59" s="5" t="n"/>
      <c r="L59" s="17">
        <f>IF(E59="","",IF(OR(G59&lt;0,H59&lt;0),"음수 오류",IF(ISNA(MATCH(E59,품목_기준정보!$B$6:$B$25,0)),"미등록 품목",IF(COUNTIF($B$4:$B$100,B59)&gt;1,"중복 전표","정상"))))</f>
        <v/>
      </c>
    </row>
    <row r="60">
      <c r="A60" s="5" t="n"/>
      <c r="B60" s="5" t="n"/>
      <c r="C60" s="5" t="n"/>
      <c r="D60" s="17">
        <f>IF(E60="","",IFERROR(INDEX(품목_기준정보!$C$6:$C$25,MATCH(E60,품목_기준정보!$B$6:$B$25,0)),"미등록 품목"))</f>
        <v/>
      </c>
      <c r="E60" s="6" t="n"/>
      <c r="F60" s="17">
        <f>IF(E60="","",IFERROR(INDEX(품목_기준정보!$D$6:$D$25,MATCH(E60,품목_기준정보!$B$6:$B$25,0)),""))</f>
        <v/>
      </c>
      <c r="G60" s="7" t="n"/>
      <c r="H60" s="7" t="n"/>
      <c r="I60" s="6" t="n"/>
      <c r="J60" s="6" t="n"/>
      <c r="K60" s="5" t="n"/>
      <c r="L60" s="17">
        <f>IF(E60="","",IF(OR(G60&lt;0,H60&lt;0),"음수 오류",IF(ISNA(MATCH(E60,품목_기준정보!$B$6:$B$25,0)),"미등록 품목",IF(COUNTIF($B$4:$B$100,B60)&gt;1,"중복 전표","정상"))))</f>
        <v/>
      </c>
    </row>
    <row r="61">
      <c r="A61" s="5" t="n"/>
      <c r="B61" s="5" t="n"/>
      <c r="C61" s="5" t="n"/>
      <c r="D61" s="17">
        <f>IF(E61="","",IFERROR(INDEX(품목_기준정보!$C$6:$C$25,MATCH(E61,품목_기준정보!$B$6:$B$25,0)),"미등록 품목"))</f>
        <v/>
      </c>
      <c r="E61" s="6" t="n"/>
      <c r="F61" s="17">
        <f>IF(E61="","",IFERROR(INDEX(품목_기준정보!$D$6:$D$25,MATCH(E61,품목_기준정보!$B$6:$B$25,0)),""))</f>
        <v/>
      </c>
      <c r="G61" s="7" t="n"/>
      <c r="H61" s="7" t="n"/>
      <c r="I61" s="6" t="n"/>
      <c r="J61" s="6" t="n"/>
      <c r="K61" s="5" t="n"/>
      <c r="L61" s="17">
        <f>IF(E61="","",IF(OR(G61&lt;0,H61&lt;0),"음수 오류",IF(ISNA(MATCH(E61,품목_기준정보!$B$6:$B$25,0)),"미등록 품목",IF(COUNTIF($B$4:$B$100,B61)&gt;1,"중복 전표","정상"))))</f>
        <v/>
      </c>
    </row>
    <row r="62">
      <c r="A62" s="5" t="n"/>
      <c r="B62" s="5" t="n"/>
      <c r="C62" s="5" t="n"/>
      <c r="D62" s="17">
        <f>IF(E62="","",IFERROR(INDEX(품목_기준정보!$C$6:$C$25,MATCH(E62,품목_기준정보!$B$6:$B$25,0)),"미등록 품목"))</f>
        <v/>
      </c>
      <c r="E62" s="6" t="n"/>
      <c r="F62" s="17">
        <f>IF(E62="","",IFERROR(INDEX(품목_기준정보!$D$6:$D$25,MATCH(E62,품목_기준정보!$B$6:$B$25,0)),""))</f>
        <v/>
      </c>
      <c r="G62" s="7" t="n"/>
      <c r="H62" s="7" t="n"/>
      <c r="I62" s="6" t="n"/>
      <c r="J62" s="6" t="n"/>
      <c r="K62" s="5" t="n"/>
      <c r="L62" s="17">
        <f>IF(E62="","",IF(OR(G62&lt;0,H62&lt;0),"음수 오류",IF(ISNA(MATCH(E62,품목_기준정보!$B$6:$B$25,0)),"미등록 품목",IF(COUNTIF($B$4:$B$100,B62)&gt;1,"중복 전표","정상"))))</f>
        <v/>
      </c>
    </row>
    <row r="63">
      <c r="A63" s="5" t="n"/>
      <c r="B63" s="5" t="n"/>
      <c r="C63" s="5" t="n"/>
      <c r="D63" s="17">
        <f>IF(E63="","",IFERROR(INDEX(품목_기준정보!$C$6:$C$25,MATCH(E63,품목_기준정보!$B$6:$B$25,0)),"미등록 품목"))</f>
        <v/>
      </c>
      <c r="E63" s="6" t="n"/>
      <c r="F63" s="17">
        <f>IF(E63="","",IFERROR(INDEX(품목_기준정보!$D$6:$D$25,MATCH(E63,품목_기준정보!$B$6:$B$25,0)),""))</f>
        <v/>
      </c>
      <c r="G63" s="7" t="n"/>
      <c r="H63" s="7" t="n"/>
      <c r="I63" s="6" t="n"/>
      <c r="J63" s="6" t="n"/>
      <c r="K63" s="5" t="n"/>
      <c r="L63" s="17">
        <f>IF(E63="","",IF(OR(G63&lt;0,H63&lt;0),"음수 오류",IF(ISNA(MATCH(E63,품목_기준정보!$B$6:$B$25,0)),"미등록 품목",IF(COUNTIF($B$4:$B$100,B63)&gt;1,"중복 전표","정상"))))</f>
        <v/>
      </c>
    </row>
    <row r="64">
      <c r="A64" s="5" t="n"/>
      <c r="B64" s="5" t="n"/>
      <c r="C64" s="5" t="n"/>
      <c r="D64" s="17">
        <f>IF(E64="","",IFERROR(INDEX(품목_기준정보!$C$6:$C$25,MATCH(E64,품목_기준정보!$B$6:$B$25,0)),"미등록 품목"))</f>
        <v/>
      </c>
      <c r="E64" s="6" t="n"/>
      <c r="F64" s="17">
        <f>IF(E64="","",IFERROR(INDEX(품목_기준정보!$D$6:$D$25,MATCH(E64,품목_기준정보!$B$6:$B$25,0)),""))</f>
        <v/>
      </c>
      <c r="G64" s="7" t="n"/>
      <c r="H64" s="7" t="n"/>
      <c r="I64" s="6" t="n"/>
      <c r="J64" s="6" t="n"/>
      <c r="K64" s="5" t="n"/>
      <c r="L64" s="17">
        <f>IF(E64="","",IF(OR(G64&lt;0,H64&lt;0),"음수 오류",IF(ISNA(MATCH(E64,품목_기준정보!$B$6:$B$25,0)),"미등록 품목",IF(COUNTIF($B$4:$B$100,B64)&gt;1,"중복 전표","정상"))))</f>
        <v/>
      </c>
    </row>
    <row r="65">
      <c r="A65" s="5" t="n"/>
      <c r="B65" s="5" t="n"/>
      <c r="C65" s="5" t="n"/>
      <c r="D65" s="17">
        <f>IF(E65="","",IFERROR(INDEX(품목_기준정보!$C$6:$C$25,MATCH(E65,품목_기준정보!$B$6:$B$25,0)),"미등록 품목"))</f>
        <v/>
      </c>
      <c r="E65" s="6" t="n"/>
      <c r="F65" s="17">
        <f>IF(E65="","",IFERROR(INDEX(품목_기준정보!$D$6:$D$25,MATCH(E65,품목_기준정보!$B$6:$B$25,0)),""))</f>
        <v/>
      </c>
      <c r="G65" s="7" t="n"/>
      <c r="H65" s="7" t="n"/>
      <c r="I65" s="6" t="n"/>
      <c r="J65" s="6" t="n"/>
      <c r="K65" s="5" t="n"/>
      <c r="L65" s="17">
        <f>IF(E65="","",IF(OR(G65&lt;0,H65&lt;0),"음수 오류",IF(ISNA(MATCH(E65,품목_기준정보!$B$6:$B$25,0)),"미등록 품목",IF(COUNTIF($B$4:$B$100,B65)&gt;1,"중복 전표","정상"))))</f>
        <v/>
      </c>
    </row>
    <row r="66">
      <c r="A66" s="5" t="n"/>
      <c r="B66" s="5" t="n"/>
      <c r="C66" s="5" t="n"/>
      <c r="D66" s="17">
        <f>IF(E66="","",IFERROR(INDEX(품목_기준정보!$C$6:$C$25,MATCH(E66,품목_기준정보!$B$6:$B$25,0)),"미등록 품목"))</f>
        <v/>
      </c>
      <c r="E66" s="6" t="n"/>
      <c r="F66" s="17">
        <f>IF(E66="","",IFERROR(INDEX(품목_기준정보!$D$6:$D$25,MATCH(E66,품목_기준정보!$B$6:$B$25,0)),""))</f>
        <v/>
      </c>
      <c r="G66" s="7" t="n"/>
      <c r="H66" s="7" t="n"/>
      <c r="I66" s="6" t="n"/>
      <c r="J66" s="6" t="n"/>
      <c r="K66" s="5" t="n"/>
      <c r="L66" s="17">
        <f>IF(E66="","",IF(OR(G66&lt;0,H66&lt;0),"음수 오류",IF(ISNA(MATCH(E66,품목_기준정보!$B$6:$B$25,0)),"미등록 품목",IF(COUNTIF($B$4:$B$100,B66)&gt;1,"중복 전표","정상"))))</f>
        <v/>
      </c>
    </row>
    <row r="67">
      <c r="A67" s="5" t="n"/>
      <c r="B67" s="5" t="n"/>
      <c r="C67" s="5" t="n"/>
      <c r="D67" s="17">
        <f>IF(E67="","",IFERROR(INDEX(품목_기준정보!$C$6:$C$25,MATCH(E67,품목_기준정보!$B$6:$B$25,0)),"미등록 품목"))</f>
        <v/>
      </c>
      <c r="E67" s="6" t="n"/>
      <c r="F67" s="17">
        <f>IF(E67="","",IFERROR(INDEX(품목_기준정보!$D$6:$D$25,MATCH(E67,품목_기준정보!$B$6:$B$25,0)),""))</f>
        <v/>
      </c>
      <c r="G67" s="7" t="n"/>
      <c r="H67" s="7" t="n"/>
      <c r="I67" s="6" t="n"/>
      <c r="J67" s="6" t="n"/>
      <c r="K67" s="5" t="n"/>
      <c r="L67" s="17">
        <f>IF(E67="","",IF(OR(G67&lt;0,H67&lt;0),"음수 오류",IF(ISNA(MATCH(E67,품목_기준정보!$B$6:$B$25,0)),"미등록 품목",IF(COUNTIF($B$4:$B$100,B67)&gt;1,"중복 전표","정상"))))</f>
        <v/>
      </c>
    </row>
    <row r="68">
      <c r="A68" s="5" t="n"/>
      <c r="B68" s="5" t="n"/>
      <c r="C68" s="5" t="n"/>
      <c r="D68" s="17">
        <f>IF(E68="","",IFERROR(INDEX(품목_기준정보!$C$6:$C$25,MATCH(E68,품목_기준정보!$B$6:$B$25,0)),"미등록 품목"))</f>
        <v/>
      </c>
      <c r="E68" s="6" t="n"/>
      <c r="F68" s="17">
        <f>IF(E68="","",IFERROR(INDEX(품목_기준정보!$D$6:$D$25,MATCH(E68,품목_기준정보!$B$6:$B$25,0)),""))</f>
        <v/>
      </c>
      <c r="G68" s="7" t="n"/>
      <c r="H68" s="7" t="n"/>
      <c r="I68" s="6" t="n"/>
      <c r="J68" s="6" t="n"/>
      <c r="K68" s="5" t="n"/>
      <c r="L68" s="17">
        <f>IF(E68="","",IF(OR(G68&lt;0,H68&lt;0),"음수 오류",IF(ISNA(MATCH(E68,품목_기준정보!$B$6:$B$25,0)),"미등록 품목",IF(COUNTIF($B$4:$B$100,B68)&gt;1,"중복 전표","정상"))))</f>
        <v/>
      </c>
    </row>
    <row r="69">
      <c r="A69" s="5" t="n"/>
      <c r="B69" s="5" t="n"/>
      <c r="C69" s="5" t="n"/>
      <c r="D69" s="17">
        <f>IF(E69="","",IFERROR(INDEX(품목_기준정보!$C$6:$C$25,MATCH(E69,품목_기준정보!$B$6:$B$25,0)),"미등록 품목"))</f>
        <v/>
      </c>
      <c r="E69" s="6" t="n"/>
      <c r="F69" s="17">
        <f>IF(E69="","",IFERROR(INDEX(품목_기준정보!$D$6:$D$25,MATCH(E69,품목_기준정보!$B$6:$B$25,0)),""))</f>
        <v/>
      </c>
      <c r="G69" s="7" t="n"/>
      <c r="H69" s="7" t="n"/>
      <c r="I69" s="6" t="n"/>
      <c r="J69" s="6" t="n"/>
      <c r="K69" s="5" t="n"/>
      <c r="L69" s="17">
        <f>IF(E69="","",IF(OR(G69&lt;0,H69&lt;0),"음수 오류",IF(ISNA(MATCH(E69,품목_기준정보!$B$6:$B$25,0)),"미등록 품목",IF(COUNTIF($B$4:$B$100,B69)&gt;1,"중복 전표","정상"))))</f>
        <v/>
      </c>
    </row>
    <row r="70">
      <c r="A70" s="5" t="n"/>
      <c r="B70" s="5" t="n"/>
      <c r="C70" s="5" t="n"/>
      <c r="D70" s="17">
        <f>IF(E70="","",IFERROR(INDEX(품목_기준정보!$C$6:$C$25,MATCH(E70,품목_기준정보!$B$6:$B$25,0)),"미등록 품목"))</f>
        <v/>
      </c>
      <c r="E70" s="6" t="n"/>
      <c r="F70" s="17">
        <f>IF(E70="","",IFERROR(INDEX(품목_기준정보!$D$6:$D$25,MATCH(E70,품목_기준정보!$B$6:$B$25,0)),""))</f>
        <v/>
      </c>
      <c r="G70" s="7" t="n"/>
      <c r="H70" s="7" t="n"/>
      <c r="I70" s="6" t="n"/>
      <c r="J70" s="6" t="n"/>
      <c r="K70" s="5" t="n"/>
      <c r="L70" s="17">
        <f>IF(E70="","",IF(OR(G70&lt;0,H70&lt;0),"음수 오류",IF(ISNA(MATCH(E70,품목_기준정보!$B$6:$B$25,0)),"미등록 품목",IF(COUNTIF($B$4:$B$100,B70)&gt;1,"중복 전표","정상"))))</f>
        <v/>
      </c>
    </row>
    <row r="71">
      <c r="A71" s="5" t="n"/>
      <c r="B71" s="5" t="n"/>
      <c r="C71" s="5" t="n"/>
      <c r="D71" s="17">
        <f>IF(E71="","",IFERROR(INDEX(품목_기준정보!$C$6:$C$25,MATCH(E71,품목_기준정보!$B$6:$B$25,0)),"미등록 품목"))</f>
        <v/>
      </c>
      <c r="E71" s="6" t="n"/>
      <c r="F71" s="17">
        <f>IF(E71="","",IFERROR(INDEX(품목_기준정보!$D$6:$D$25,MATCH(E71,품목_기준정보!$B$6:$B$25,0)),""))</f>
        <v/>
      </c>
      <c r="G71" s="7" t="n"/>
      <c r="H71" s="7" t="n"/>
      <c r="I71" s="6" t="n"/>
      <c r="J71" s="6" t="n"/>
      <c r="K71" s="5" t="n"/>
      <c r="L71" s="17">
        <f>IF(E71="","",IF(OR(G71&lt;0,H71&lt;0),"음수 오류",IF(ISNA(MATCH(E71,품목_기준정보!$B$6:$B$25,0)),"미등록 품목",IF(COUNTIF($B$4:$B$100,B71)&gt;1,"중복 전표","정상"))))</f>
        <v/>
      </c>
    </row>
    <row r="72">
      <c r="A72" s="5" t="n"/>
      <c r="B72" s="5" t="n"/>
      <c r="C72" s="5" t="n"/>
      <c r="D72" s="17">
        <f>IF(E72="","",IFERROR(INDEX(품목_기준정보!$C$6:$C$25,MATCH(E72,품목_기준정보!$B$6:$B$25,0)),"미등록 품목"))</f>
        <v/>
      </c>
      <c r="E72" s="6" t="n"/>
      <c r="F72" s="17">
        <f>IF(E72="","",IFERROR(INDEX(품목_기준정보!$D$6:$D$25,MATCH(E72,품목_기준정보!$B$6:$B$25,0)),""))</f>
        <v/>
      </c>
      <c r="G72" s="7" t="n"/>
      <c r="H72" s="7" t="n"/>
      <c r="I72" s="6" t="n"/>
      <c r="J72" s="6" t="n"/>
      <c r="K72" s="5" t="n"/>
      <c r="L72" s="17">
        <f>IF(E72="","",IF(OR(G72&lt;0,H72&lt;0),"음수 오류",IF(ISNA(MATCH(E72,품목_기준정보!$B$6:$B$25,0)),"미등록 품목",IF(COUNTIF($B$4:$B$100,B72)&gt;1,"중복 전표","정상"))))</f>
        <v/>
      </c>
    </row>
    <row r="73">
      <c r="A73" s="5" t="n"/>
      <c r="B73" s="5" t="n"/>
      <c r="C73" s="5" t="n"/>
      <c r="D73" s="17">
        <f>IF(E73="","",IFERROR(INDEX(품목_기준정보!$C$6:$C$25,MATCH(E73,품목_기준정보!$B$6:$B$25,0)),"미등록 품목"))</f>
        <v/>
      </c>
      <c r="E73" s="6" t="n"/>
      <c r="F73" s="17">
        <f>IF(E73="","",IFERROR(INDEX(품목_기준정보!$D$6:$D$25,MATCH(E73,품목_기준정보!$B$6:$B$25,0)),""))</f>
        <v/>
      </c>
      <c r="G73" s="7" t="n"/>
      <c r="H73" s="7" t="n"/>
      <c r="I73" s="6" t="n"/>
      <c r="J73" s="6" t="n"/>
      <c r="K73" s="5" t="n"/>
      <c r="L73" s="17">
        <f>IF(E73="","",IF(OR(G73&lt;0,H73&lt;0),"음수 오류",IF(ISNA(MATCH(E73,품목_기준정보!$B$6:$B$25,0)),"미등록 품목",IF(COUNTIF($B$4:$B$100,B73)&gt;1,"중복 전표","정상"))))</f>
        <v/>
      </c>
    </row>
    <row r="74">
      <c r="A74" s="5" t="n"/>
      <c r="B74" s="5" t="n"/>
      <c r="C74" s="5" t="n"/>
      <c r="D74" s="17">
        <f>IF(E74="","",IFERROR(INDEX(품목_기준정보!$C$6:$C$25,MATCH(E74,품목_기준정보!$B$6:$B$25,0)),"미등록 품목"))</f>
        <v/>
      </c>
      <c r="E74" s="6" t="n"/>
      <c r="F74" s="17">
        <f>IF(E74="","",IFERROR(INDEX(품목_기준정보!$D$6:$D$25,MATCH(E74,품목_기준정보!$B$6:$B$25,0)),""))</f>
        <v/>
      </c>
      <c r="G74" s="7" t="n"/>
      <c r="H74" s="7" t="n"/>
      <c r="I74" s="6" t="n"/>
      <c r="J74" s="6" t="n"/>
      <c r="K74" s="5" t="n"/>
      <c r="L74" s="17">
        <f>IF(E74="","",IF(OR(G74&lt;0,H74&lt;0),"음수 오류",IF(ISNA(MATCH(E74,품목_기준정보!$B$6:$B$25,0)),"미등록 품목",IF(COUNTIF($B$4:$B$100,B74)&gt;1,"중복 전표","정상"))))</f>
        <v/>
      </c>
    </row>
    <row r="75">
      <c r="A75" s="5" t="n"/>
      <c r="B75" s="5" t="n"/>
      <c r="C75" s="5" t="n"/>
      <c r="D75" s="17">
        <f>IF(E75="","",IFERROR(INDEX(품목_기준정보!$C$6:$C$25,MATCH(E75,품목_기준정보!$B$6:$B$25,0)),"미등록 품목"))</f>
        <v/>
      </c>
      <c r="E75" s="6" t="n"/>
      <c r="F75" s="17">
        <f>IF(E75="","",IFERROR(INDEX(품목_기준정보!$D$6:$D$25,MATCH(E75,품목_기준정보!$B$6:$B$25,0)),""))</f>
        <v/>
      </c>
      <c r="G75" s="7" t="n"/>
      <c r="H75" s="7" t="n"/>
      <c r="I75" s="6" t="n"/>
      <c r="J75" s="6" t="n"/>
      <c r="K75" s="5" t="n"/>
      <c r="L75" s="17">
        <f>IF(E75="","",IF(OR(G75&lt;0,H75&lt;0),"음수 오류",IF(ISNA(MATCH(E75,품목_기준정보!$B$6:$B$25,0)),"미등록 품목",IF(COUNTIF($B$4:$B$100,B75)&gt;1,"중복 전표","정상"))))</f>
        <v/>
      </c>
    </row>
    <row r="76">
      <c r="A76" s="5" t="n"/>
      <c r="B76" s="5" t="n"/>
      <c r="C76" s="5" t="n"/>
      <c r="D76" s="17">
        <f>IF(E76="","",IFERROR(INDEX(품목_기준정보!$C$6:$C$25,MATCH(E76,품목_기준정보!$B$6:$B$25,0)),"미등록 품목"))</f>
        <v/>
      </c>
      <c r="E76" s="6" t="n"/>
      <c r="F76" s="17">
        <f>IF(E76="","",IFERROR(INDEX(품목_기준정보!$D$6:$D$25,MATCH(E76,품목_기준정보!$B$6:$B$25,0)),""))</f>
        <v/>
      </c>
      <c r="G76" s="7" t="n"/>
      <c r="H76" s="7" t="n"/>
      <c r="I76" s="6" t="n"/>
      <c r="J76" s="6" t="n"/>
      <c r="K76" s="5" t="n"/>
      <c r="L76" s="17">
        <f>IF(E76="","",IF(OR(G76&lt;0,H76&lt;0),"음수 오류",IF(ISNA(MATCH(E76,품목_기준정보!$B$6:$B$25,0)),"미등록 품목",IF(COUNTIF($B$4:$B$100,B76)&gt;1,"중복 전표","정상"))))</f>
        <v/>
      </c>
    </row>
    <row r="77">
      <c r="A77" s="5" t="n"/>
      <c r="B77" s="5" t="n"/>
      <c r="C77" s="5" t="n"/>
      <c r="D77" s="17">
        <f>IF(E77="","",IFERROR(INDEX(품목_기준정보!$C$6:$C$25,MATCH(E77,품목_기준정보!$B$6:$B$25,0)),"미등록 품목"))</f>
        <v/>
      </c>
      <c r="E77" s="6" t="n"/>
      <c r="F77" s="17">
        <f>IF(E77="","",IFERROR(INDEX(품목_기준정보!$D$6:$D$25,MATCH(E77,품목_기준정보!$B$6:$B$25,0)),""))</f>
        <v/>
      </c>
      <c r="G77" s="7" t="n"/>
      <c r="H77" s="7" t="n"/>
      <c r="I77" s="6" t="n"/>
      <c r="J77" s="6" t="n"/>
      <c r="K77" s="5" t="n"/>
      <c r="L77" s="17">
        <f>IF(E77="","",IF(OR(G77&lt;0,H77&lt;0),"음수 오류",IF(ISNA(MATCH(E77,품목_기준정보!$B$6:$B$25,0)),"미등록 품목",IF(COUNTIF($B$4:$B$100,B77)&gt;1,"중복 전표","정상"))))</f>
        <v/>
      </c>
    </row>
    <row r="78">
      <c r="A78" s="5" t="n"/>
      <c r="B78" s="5" t="n"/>
      <c r="C78" s="5" t="n"/>
      <c r="D78" s="17">
        <f>IF(E78="","",IFERROR(INDEX(품목_기준정보!$C$6:$C$25,MATCH(E78,품목_기준정보!$B$6:$B$25,0)),"미등록 품목"))</f>
        <v/>
      </c>
      <c r="E78" s="6" t="n"/>
      <c r="F78" s="17">
        <f>IF(E78="","",IFERROR(INDEX(품목_기준정보!$D$6:$D$25,MATCH(E78,품목_기준정보!$B$6:$B$25,0)),""))</f>
        <v/>
      </c>
      <c r="G78" s="7" t="n"/>
      <c r="H78" s="7" t="n"/>
      <c r="I78" s="6" t="n"/>
      <c r="J78" s="6" t="n"/>
      <c r="K78" s="5" t="n"/>
      <c r="L78" s="17">
        <f>IF(E78="","",IF(OR(G78&lt;0,H78&lt;0),"음수 오류",IF(ISNA(MATCH(E78,품목_기준정보!$B$6:$B$25,0)),"미등록 품목",IF(COUNTIF($B$4:$B$100,B78)&gt;1,"중복 전표","정상"))))</f>
        <v/>
      </c>
    </row>
    <row r="79">
      <c r="A79" s="5" t="n"/>
      <c r="B79" s="5" t="n"/>
      <c r="C79" s="5" t="n"/>
      <c r="D79" s="17">
        <f>IF(E79="","",IFERROR(INDEX(품목_기준정보!$C$6:$C$25,MATCH(E79,품목_기준정보!$B$6:$B$25,0)),"미등록 품목"))</f>
        <v/>
      </c>
      <c r="E79" s="6" t="n"/>
      <c r="F79" s="17">
        <f>IF(E79="","",IFERROR(INDEX(품목_기준정보!$D$6:$D$25,MATCH(E79,품목_기준정보!$B$6:$B$25,0)),""))</f>
        <v/>
      </c>
      <c r="G79" s="7" t="n"/>
      <c r="H79" s="7" t="n"/>
      <c r="I79" s="6" t="n"/>
      <c r="J79" s="6" t="n"/>
      <c r="K79" s="5" t="n"/>
      <c r="L79" s="17">
        <f>IF(E79="","",IF(OR(G79&lt;0,H79&lt;0),"음수 오류",IF(ISNA(MATCH(E79,품목_기준정보!$B$6:$B$25,0)),"미등록 품목",IF(COUNTIF($B$4:$B$100,B79)&gt;1,"중복 전표","정상"))))</f>
        <v/>
      </c>
    </row>
    <row r="80">
      <c r="A80" s="5" t="n"/>
      <c r="B80" s="5" t="n"/>
      <c r="C80" s="5" t="n"/>
      <c r="D80" s="17">
        <f>IF(E80="","",IFERROR(INDEX(품목_기준정보!$C$6:$C$25,MATCH(E80,품목_기준정보!$B$6:$B$25,0)),"미등록 품목"))</f>
        <v/>
      </c>
      <c r="E80" s="6" t="n"/>
      <c r="F80" s="17">
        <f>IF(E80="","",IFERROR(INDEX(품목_기준정보!$D$6:$D$25,MATCH(E80,품목_기준정보!$B$6:$B$25,0)),""))</f>
        <v/>
      </c>
      <c r="G80" s="7" t="n"/>
      <c r="H80" s="7" t="n"/>
      <c r="I80" s="6" t="n"/>
      <c r="J80" s="6" t="n"/>
      <c r="K80" s="5" t="n"/>
      <c r="L80" s="17">
        <f>IF(E80="","",IF(OR(G80&lt;0,H80&lt;0),"음수 오류",IF(ISNA(MATCH(E80,품목_기준정보!$B$6:$B$25,0)),"미등록 품목",IF(COUNTIF($B$4:$B$100,B80)&gt;1,"중복 전표","정상"))))</f>
        <v/>
      </c>
    </row>
    <row r="81">
      <c r="A81" s="5" t="n"/>
      <c r="B81" s="5" t="n"/>
      <c r="C81" s="5" t="n"/>
      <c r="D81" s="17">
        <f>IF(E81="","",IFERROR(INDEX(품목_기준정보!$C$6:$C$25,MATCH(E81,품목_기준정보!$B$6:$B$25,0)),"미등록 품목"))</f>
        <v/>
      </c>
      <c r="E81" s="6" t="n"/>
      <c r="F81" s="17">
        <f>IF(E81="","",IFERROR(INDEX(품목_기준정보!$D$6:$D$25,MATCH(E81,품목_기준정보!$B$6:$B$25,0)),""))</f>
        <v/>
      </c>
      <c r="G81" s="7" t="n"/>
      <c r="H81" s="7" t="n"/>
      <c r="I81" s="6" t="n"/>
      <c r="J81" s="6" t="n"/>
      <c r="K81" s="5" t="n"/>
      <c r="L81" s="17">
        <f>IF(E81="","",IF(OR(G81&lt;0,H81&lt;0),"음수 오류",IF(ISNA(MATCH(E81,품목_기준정보!$B$6:$B$25,0)),"미등록 품목",IF(COUNTIF($B$4:$B$100,B81)&gt;1,"중복 전표","정상"))))</f>
        <v/>
      </c>
    </row>
    <row r="82">
      <c r="A82" s="5" t="n"/>
      <c r="B82" s="5" t="n"/>
      <c r="C82" s="5" t="n"/>
      <c r="D82" s="17">
        <f>IF(E82="","",IFERROR(INDEX(품목_기준정보!$C$6:$C$25,MATCH(E82,품목_기준정보!$B$6:$B$25,0)),"미등록 품목"))</f>
        <v/>
      </c>
      <c r="E82" s="6" t="n"/>
      <c r="F82" s="17">
        <f>IF(E82="","",IFERROR(INDEX(품목_기준정보!$D$6:$D$25,MATCH(E82,품목_기준정보!$B$6:$B$25,0)),""))</f>
        <v/>
      </c>
      <c r="G82" s="7" t="n"/>
      <c r="H82" s="7" t="n"/>
      <c r="I82" s="6" t="n"/>
      <c r="J82" s="6" t="n"/>
      <c r="K82" s="5" t="n"/>
      <c r="L82" s="17">
        <f>IF(E82="","",IF(OR(G82&lt;0,H82&lt;0),"음수 오류",IF(ISNA(MATCH(E82,품목_기준정보!$B$6:$B$25,0)),"미등록 품목",IF(COUNTIF($B$4:$B$100,B82)&gt;1,"중복 전표","정상"))))</f>
        <v/>
      </c>
    </row>
    <row r="83">
      <c r="A83" s="5" t="n"/>
      <c r="B83" s="5" t="n"/>
      <c r="C83" s="5" t="n"/>
      <c r="D83" s="17">
        <f>IF(E83="","",IFERROR(INDEX(품목_기준정보!$C$6:$C$25,MATCH(E83,품목_기준정보!$B$6:$B$25,0)),"미등록 품목"))</f>
        <v/>
      </c>
      <c r="E83" s="6" t="n"/>
      <c r="F83" s="17">
        <f>IF(E83="","",IFERROR(INDEX(품목_기준정보!$D$6:$D$25,MATCH(E83,품목_기준정보!$B$6:$B$25,0)),""))</f>
        <v/>
      </c>
      <c r="G83" s="7" t="n"/>
      <c r="H83" s="7" t="n"/>
      <c r="I83" s="6" t="n"/>
      <c r="J83" s="6" t="n"/>
      <c r="K83" s="5" t="n"/>
      <c r="L83" s="17">
        <f>IF(E83="","",IF(OR(G83&lt;0,H83&lt;0),"음수 오류",IF(ISNA(MATCH(E83,품목_기준정보!$B$6:$B$25,0)),"미등록 품목",IF(COUNTIF($B$4:$B$100,B83)&gt;1,"중복 전표","정상"))))</f>
        <v/>
      </c>
    </row>
    <row r="84">
      <c r="A84" s="5" t="n"/>
      <c r="B84" s="5" t="n"/>
      <c r="C84" s="5" t="n"/>
      <c r="D84" s="17">
        <f>IF(E84="","",IFERROR(INDEX(품목_기준정보!$C$6:$C$25,MATCH(E84,품목_기준정보!$B$6:$B$25,0)),"미등록 품목"))</f>
        <v/>
      </c>
      <c r="E84" s="6" t="n"/>
      <c r="F84" s="17">
        <f>IF(E84="","",IFERROR(INDEX(품목_기준정보!$D$6:$D$25,MATCH(E84,품목_기준정보!$B$6:$B$25,0)),""))</f>
        <v/>
      </c>
      <c r="G84" s="7" t="n"/>
      <c r="H84" s="7" t="n"/>
      <c r="I84" s="6" t="n"/>
      <c r="J84" s="6" t="n"/>
      <c r="K84" s="5" t="n"/>
      <c r="L84" s="17">
        <f>IF(E84="","",IF(OR(G84&lt;0,H84&lt;0),"음수 오류",IF(ISNA(MATCH(E84,품목_기준정보!$B$6:$B$25,0)),"미등록 품목",IF(COUNTIF($B$4:$B$100,B84)&gt;1,"중복 전표","정상"))))</f>
        <v/>
      </c>
    </row>
    <row r="85">
      <c r="A85" s="5" t="n"/>
      <c r="B85" s="5" t="n"/>
      <c r="C85" s="5" t="n"/>
      <c r="D85" s="17">
        <f>IF(E85="","",IFERROR(INDEX(품목_기준정보!$C$6:$C$25,MATCH(E85,품목_기준정보!$B$6:$B$25,0)),"미등록 품목"))</f>
        <v/>
      </c>
      <c r="E85" s="6" t="n"/>
      <c r="F85" s="17">
        <f>IF(E85="","",IFERROR(INDEX(품목_기준정보!$D$6:$D$25,MATCH(E85,품목_기준정보!$B$6:$B$25,0)),""))</f>
        <v/>
      </c>
      <c r="G85" s="7" t="n"/>
      <c r="H85" s="7" t="n"/>
      <c r="I85" s="6" t="n"/>
      <c r="J85" s="6" t="n"/>
      <c r="K85" s="5" t="n"/>
      <c r="L85" s="17">
        <f>IF(E85="","",IF(OR(G85&lt;0,H85&lt;0),"음수 오류",IF(ISNA(MATCH(E85,품목_기준정보!$B$6:$B$25,0)),"미등록 품목",IF(COUNTIF($B$4:$B$100,B85)&gt;1,"중복 전표","정상"))))</f>
        <v/>
      </c>
    </row>
    <row r="86">
      <c r="A86" s="5" t="n"/>
      <c r="B86" s="5" t="n"/>
      <c r="C86" s="5" t="n"/>
      <c r="D86" s="17">
        <f>IF(E86="","",IFERROR(INDEX(품목_기준정보!$C$6:$C$25,MATCH(E86,품목_기준정보!$B$6:$B$25,0)),"미등록 품목"))</f>
        <v/>
      </c>
      <c r="E86" s="6" t="n"/>
      <c r="F86" s="17">
        <f>IF(E86="","",IFERROR(INDEX(품목_기준정보!$D$6:$D$25,MATCH(E86,품목_기준정보!$B$6:$B$25,0)),""))</f>
        <v/>
      </c>
      <c r="G86" s="7" t="n"/>
      <c r="H86" s="7" t="n"/>
      <c r="I86" s="6" t="n"/>
      <c r="J86" s="6" t="n"/>
      <c r="K86" s="5" t="n"/>
      <c r="L86" s="17">
        <f>IF(E86="","",IF(OR(G86&lt;0,H86&lt;0),"음수 오류",IF(ISNA(MATCH(E86,품목_기준정보!$B$6:$B$25,0)),"미등록 품목",IF(COUNTIF($B$4:$B$100,B86)&gt;1,"중복 전표","정상"))))</f>
        <v/>
      </c>
    </row>
    <row r="87">
      <c r="A87" s="5" t="n"/>
      <c r="B87" s="5" t="n"/>
      <c r="C87" s="5" t="n"/>
      <c r="D87" s="17">
        <f>IF(E87="","",IFERROR(INDEX(품목_기준정보!$C$6:$C$25,MATCH(E87,품목_기준정보!$B$6:$B$25,0)),"미등록 품목"))</f>
        <v/>
      </c>
      <c r="E87" s="6" t="n"/>
      <c r="F87" s="17">
        <f>IF(E87="","",IFERROR(INDEX(품목_기준정보!$D$6:$D$25,MATCH(E87,품목_기준정보!$B$6:$B$25,0)),""))</f>
        <v/>
      </c>
      <c r="G87" s="7" t="n"/>
      <c r="H87" s="7" t="n"/>
      <c r="I87" s="6" t="n"/>
      <c r="J87" s="6" t="n"/>
      <c r="K87" s="5" t="n"/>
      <c r="L87" s="17">
        <f>IF(E87="","",IF(OR(G87&lt;0,H87&lt;0),"음수 오류",IF(ISNA(MATCH(E87,품목_기준정보!$B$6:$B$25,0)),"미등록 품목",IF(COUNTIF($B$4:$B$100,B87)&gt;1,"중복 전표","정상"))))</f>
        <v/>
      </c>
    </row>
    <row r="88">
      <c r="A88" s="5" t="n"/>
      <c r="B88" s="5" t="n"/>
      <c r="C88" s="5" t="n"/>
      <c r="D88" s="17">
        <f>IF(E88="","",IFERROR(INDEX(품목_기준정보!$C$6:$C$25,MATCH(E88,품목_기준정보!$B$6:$B$25,0)),"미등록 품목"))</f>
        <v/>
      </c>
      <c r="E88" s="6" t="n"/>
      <c r="F88" s="17">
        <f>IF(E88="","",IFERROR(INDEX(품목_기준정보!$D$6:$D$25,MATCH(E88,품목_기준정보!$B$6:$B$25,0)),""))</f>
        <v/>
      </c>
      <c r="G88" s="7" t="n"/>
      <c r="H88" s="7" t="n"/>
      <c r="I88" s="6" t="n"/>
      <c r="J88" s="6" t="n"/>
      <c r="K88" s="5" t="n"/>
      <c r="L88" s="17">
        <f>IF(E88="","",IF(OR(G88&lt;0,H88&lt;0),"음수 오류",IF(ISNA(MATCH(E88,품목_기준정보!$B$6:$B$25,0)),"미등록 품목",IF(COUNTIF($B$4:$B$100,B88)&gt;1,"중복 전표","정상"))))</f>
        <v/>
      </c>
    </row>
    <row r="89">
      <c r="A89" s="5" t="n"/>
      <c r="B89" s="5" t="n"/>
      <c r="C89" s="5" t="n"/>
      <c r="D89" s="17">
        <f>IF(E89="","",IFERROR(INDEX(품목_기준정보!$C$6:$C$25,MATCH(E89,품목_기준정보!$B$6:$B$25,0)),"미등록 품목"))</f>
        <v/>
      </c>
      <c r="E89" s="6" t="n"/>
      <c r="F89" s="17">
        <f>IF(E89="","",IFERROR(INDEX(품목_기준정보!$D$6:$D$25,MATCH(E89,품목_기준정보!$B$6:$B$25,0)),""))</f>
        <v/>
      </c>
      <c r="G89" s="7" t="n"/>
      <c r="H89" s="7" t="n"/>
      <c r="I89" s="6" t="n"/>
      <c r="J89" s="6" t="n"/>
      <c r="K89" s="5" t="n"/>
      <c r="L89" s="17">
        <f>IF(E89="","",IF(OR(G89&lt;0,H89&lt;0),"음수 오류",IF(ISNA(MATCH(E89,품목_기준정보!$B$6:$B$25,0)),"미등록 품목",IF(COUNTIF($B$4:$B$100,B89)&gt;1,"중복 전표","정상"))))</f>
        <v/>
      </c>
    </row>
    <row r="90">
      <c r="A90" s="5" t="n"/>
      <c r="B90" s="5" t="n"/>
      <c r="C90" s="5" t="n"/>
      <c r="D90" s="17">
        <f>IF(E90="","",IFERROR(INDEX(품목_기준정보!$C$6:$C$25,MATCH(E90,품목_기준정보!$B$6:$B$25,0)),"미등록 품목"))</f>
        <v/>
      </c>
      <c r="E90" s="6" t="n"/>
      <c r="F90" s="17">
        <f>IF(E90="","",IFERROR(INDEX(품목_기준정보!$D$6:$D$25,MATCH(E90,품목_기준정보!$B$6:$B$25,0)),""))</f>
        <v/>
      </c>
      <c r="G90" s="7" t="n"/>
      <c r="H90" s="7" t="n"/>
      <c r="I90" s="6" t="n"/>
      <c r="J90" s="6" t="n"/>
      <c r="K90" s="5" t="n"/>
      <c r="L90" s="17">
        <f>IF(E90="","",IF(OR(G90&lt;0,H90&lt;0),"음수 오류",IF(ISNA(MATCH(E90,품목_기준정보!$B$6:$B$25,0)),"미등록 품목",IF(COUNTIF($B$4:$B$100,B90)&gt;1,"중복 전표","정상"))))</f>
        <v/>
      </c>
    </row>
    <row r="91">
      <c r="A91" s="5" t="n"/>
      <c r="B91" s="5" t="n"/>
      <c r="C91" s="5" t="n"/>
      <c r="D91" s="17">
        <f>IF(E91="","",IFERROR(INDEX(품목_기준정보!$C$6:$C$25,MATCH(E91,품목_기준정보!$B$6:$B$25,0)),"미등록 품목"))</f>
        <v/>
      </c>
      <c r="E91" s="6" t="n"/>
      <c r="F91" s="17">
        <f>IF(E91="","",IFERROR(INDEX(품목_기준정보!$D$6:$D$25,MATCH(E91,품목_기준정보!$B$6:$B$25,0)),""))</f>
        <v/>
      </c>
      <c r="G91" s="7" t="n"/>
      <c r="H91" s="7" t="n"/>
      <c r="I91" s="6" t="n"/>
      <c r="J91" s="6" t="n"/>
      <c r="K91" s="5" t="n"/>
      <c r="L91" s="17">
        <f>IF(E91="","",IF(OR(G91&lt;0,H91&lt;0),"음수 오류",IF(ISNA(MATCH(E91,품목_기준정보!$B$6:$B$25,0)),"미등록 품목",IF(COUNTIF($B$4:$B$100,B91)&gt;1,"중복 전표","정상"))))</f>
        <v/>
      </c>
    </row>
    <row r="92">
      <c r="A92" s="5" t="n"/>
      <c r="B92" s="5" t="n"/>
      <c r="C92" s="5" t="n"/>
      <c r="D92" s="17">
        <f>IF(E92="","",IFERROR(INDEX(품목_기준정보!$C$6:$C$25,MATCH(E92,품목_기준정보!$B$6:$B$25,0)),"미등록 품목"))</f>
        <v/>
      </c>
      <c r="E92" s="6" t="n"/>
      <c r="F92" s="17">
        <f>IF(E92="","",IFERROR(INDEX(품목_기준정보!$D$6:$D$25,MATCH(E92,품목_기준정보!$B$6:$B$25,0)),""))</f>
        <v/>
      </c>
      <c r="G92" s="7" t="n"/>
      <c r="H92" s="7" t="n"/>
      <c r="I92" s="6" t="n"/>
      <c r="J92" s="6" t="n"/>
      <c r="K92" s="5" t="n"/>
      <c r="L92" s="17">
        <f>IF(E92="","",IF(OR(G92&lt;0,H92&lt;0),"음수 오류",IF(ISNA(MATCH(E92,품목_기준정보!$B$6:$B$25,0)),"미등록 품목",IF(COUNTIF($B$4:$B$100,B92)&gt;1,"중복 전표","정상"))))</f>
        <v/>
      </c>
    </row>
    <row r="93">
      <c r="A93" s="5" t="n"/>
      <c r="B93" s="5" t="n"/>
      <c r="C93" s="5" t="n"/>
      <c r="D93" s="17">
        <f>IF(E93="","",IFERROR(INDEX(품목_기준정보!$C$6:$C$25,MATCH(E93,품목_기준정보!$B$6:$B$25,0)),"미등록 품목"))</f>
        <v/>
      </c>
      <c r="E93" s="6" t="n"/>
      <c r="F93" s="17">
        <f>IF(E93="","",IFERROR(INDEX(품목_기준정보!$D$6:$D$25,MATCH(E93,품목_기준정보!$B$6:$B$25,0)),""))</f>
        <v/>
      </c>
      <c r="G93" s="7" t="n"/>
      <c r="H93" s="7" t="n"/>
      <c r="I93" s="6" t="n"/>
      <c r="J93" s="6" t="n"/>
      <c r="K93" s="5" t="n"/>
      <c r="L93" s="17">
        <f>IF(E93="","",IF(OR(G93&lt;0,H93&lt;0),"음수 오류",IF(ISNA(MATCH(E93,품목_기준정보!$B$6:$B$25,0)),"미등록 품목",IF(COUNTIF($B$4:$B$100,B93)&gt;1,"중복 전표","정상"))))</f>
        <v/>
      </c>
    </row>
    <row r="94">
      <c r="A94" s="5" t="n"/>
      <c r="B94" s="5" t="n"/>
      <c r="C94" s="5" t="n"/>
      <c r="D94" s="17">
        <f>IF(E94="","",IFERROR(INDEX(품목_기준정보!$C$6:$C$25,MATCH(E94,품목_기준정보!$B$6:$B$25,0)),"미등록 품목"))</f>
        <v/>
      </c>
      <c r="E94" s="6" t="n"/>
      <c r="F94" s="17">
        <f>IF(E94="","",IFERROR(INDEX(품목_기준정보!$D$6:$D$25,MATCH(E94,품목_기준정보!$B$6:$B$25,0)),""))</f>
        <v/>
      </c>
      <c r="G94" s="7" t="n"/>
      <c r="H94" s="7" t="n"/>
      <c r="I94" s="6" t="n"/>
      <c r="J94" s="6" t="n"/>
      <c r="K94" s="5" t="n"/>
      <c r="L94" s="17">
        <f>IF(E94="","",IF(OR(G94&lt;0,H94&lt;0),"음수 오류",IF(ISNA(MATCH(E94,품목_기준정보!$B$6:$B$25,0)),"미등록 품목",IF(COUNTIF($B$4:$B$100,B94)&gt;1,"중복 전표","정상"))))</f>
        <v/>
      </c>
    </row>
    <row r="95">
      <c r="A95" s="5" t="n"/>
      <c r="B95" s="5" t="n"/>
      <c r="C95" s="5" t="n"/>
      <c r="D95" s="17">
        <f>IF(E95="","",IFERROR(INDEX(품목_기준정보!$C$6:$C$25,MATCH(E95,품목_기준정보!$B$6:$B$25,0)),"미등록 품목"))</f>
        <v/>
      </c>
      <c r="E95" s="6" t="n"/>
      <c r="F95" s="17">
        <f>IF(E95="","",IFERROR(INDEX(품목_기준정보!$D$6:$D$25,MATCH(E95,품목_기준정보!$B$6:$B$25,0)),""))</f>
        <v/>
      </c>
      <c r="G95" s="7" t="n"/>
      <c r="H95" s="7" t="n"/>
      <c r="I95" s="6" t="n"/>
      <c r="J95" s="6" t="n"/>
      <c r="K95" s="5" t="n"/>
      <c r="L95" s="17">
        <f>IF(E95="","",IF(OR(G95&lt;0,H95&lt;0),"음수 오류",IF(ISNA(MATCH(E95,품목_기준정보!$B$6:$B$25,0)),"미등록 품목",IF(COUNTIF($B$4:$B$100,B95)&gt;1,"중복 전표","정상"))))</f>
        <v/>
      </c>
    </row>
    <row r="96">
      <c r="A96" s="5" t="n"/>
      <c r="B96" s="5" t="n"/>
      <c r="C96" s="5" t="n"/>
      <c r="D96" s="17">
        <f>IF(E96="","",IFERROR(INDEX(품목_기준정보!$C$6:$C$25,MATCH(E96,품목_기준정보!$B$6:$B$25,0)),"미등록 품목"))</f>
        <v/>
      </c>
      <c r="E96" s="6" t="n"/>
      <c r="F96" s="17">
        <f>IF(E96="","",IFERROR(INDEX(품목_기준정보!$D$6:$D$25,MATCH(E96,품목_기준정보!$B$6:$B$25,0)),""))</f>
        <v/>
      </c>
      <c r="G96" s="7" t="n"/>
      <c r="H96" s="7" t="n"/>
      <c r="I96" s="6" t="n"/>
      <c r="J96" s="6" t="n"/>
      <c r="K96" s="5" t="n"/>
      <c r="L96" s="17">
        <f>IF(E96="","",IF(OR(G96&lt;0,H96&lt;0),"음수 오류",IF(ISNA(MATCH(E96,품목_기준정보!$B$6:$B$25,0)),"미등록 품목",IF(COUNTIF($B$4:$B$100,B96)&gt;1,"중복 전표","정상"))))</f>
        <v/>
      </c>
    </row>
    <row r="97">
      <c r="A97" s="5" t="n"/>
      <c r="B97" s="5" t="n"/>
      <c r="C97" s="5" t="n"/>
      <c r="D97" s="17">
        <f>IF(E97="","",IFERROR(INDEX(품목_기준정보!$C$6:$C$25,MATCH(E97,품목_기준정보!$B$6:$B$25,0)),"미등록 품목"))</f>
        <v/>
      </c>
      <c r="E97" s="6" t="n"/>
      <c r="F97" s="17">
        <f>IF(E97="","",IFERROR(INDEX(품목_기준정보!$D$6:$D$25,MATCH(E97,품목_기준정보!$B$6:$B$25,0)),""))</f>
        <v/>
      </c>
      <c r="G97" s="7" t="n"/>
      <c r="H97" s="7" t="n"/>
      <c r="I97" s="6" t="n"/>
      <c r="J97" s="6" t="n"/>
      <c r="K97" s="5" t="n"/>
      <c r="L97" s="17">
        <f>IF(E97="","",IF(OR(G97&lt;0,H97&lt;0),"음수 오류",IF(ISNA(MATCH(E97,품목_기준정보!$B$6:$B$25,0)),"미등록 품목",IF(COUNTIF($B$4:$B$100,B97)&gt;1,"중복 전표","정상"))))</f>
        <v/>
      </c>
    </row>
    <row r="98">
      <c r="A98" s="5" t="n"/>
      <c r="B98" s="5" t="n"/>
      <c r="C98" s="5" t="n"/>
      <c r="D98" s="17">
        <f>IF(E98="","",IFERROR(INDEX(품목_기준정보!$C$6:$C$25,MATCH(E98,품목_기준정보!$B$6:$B$25,0)),"미등록 품목"))</f>
        <v/>
      </c>
      <c r="E98" s="6" t="n"/>
      <c r="F98" s="17">
        <f>IF(E98="","",IFERROR(INDEX(품목_기준정보!$D$6:$D$25,MATCH(E98,품목_기준정보!$B$6:$B$25,0)),""))</f>
        <v/>
      </c>
      <c r="G98" s="7" t="n"/>
      <c r="H98" s="7" t="n"/>
      <c r="I98" s="6" t="n"/>
      <c r="J98" s="6" t="n"/>
      <c r="K98" s="5" t="n"/>
      <c r="L98" s="17">
        <f>IF(E98="","",IF(OR(G98&lt;0,H98&lt;0),"음수 오류",IF(ISNA(MATCH(E98,품목_기준정보!$B$6:$B$25,0)),"미등록 품목",IF(COUNTIF($B$4:$B$100,B98)&gt;1,"중복 전표","정상"))))</f>
        <v/>
      </c>
    </row>
    <row r="99">
      <c r="A99" s="5" t="n"/>
      <c r="B99" s="5" t="n"/>
      <c r="C99" s="5" t="n"/>
      <c r="D99" s="17">
        <f>IF(E99="","",IFERROR(INDEX(품목_기준정보!$C$6:$C$25,MATCH(E99,품목_기준정보!$B$6:$B$25,0)),"미등록 품목"))</f>
        <v/>
      </c>
      <c r="E99" s="6" t="n"/>
      <c r="F99" s="17">
        <f>IF(E99="","",IFERROR(INDEX(품목_기준정보!$D$6:$D$25,MATCH(E99,품목_기준정보!$B$6:$B$25,0)),""))</f>
        <v/>
      </c>
      <c r="G99" s="7" t="n"/>
      <c r="H99" s="7" t="n"/>
      <c r="I99" s="6" t="n"/>
      <c r="J99" s="6" t="n"/>
      <c r="K99" s="5" t="n"/>
      <c r="L99" s="17">
        <f>IF(E99="","",IF(OR(G99&lt;0,H99&lt;0),"음수 오류",IF(ISNA(MATCH(E99,품목_기준정보!$B$6:$B$25,0)),"미등록 품목",IF(COUNTIF($B$4:$B$100,B99)&gt;1,"중복 전표","정상"))))</f>
        <v/>
      </c>
    </row>
    <row r="100">
      <c r="A100" s="5" t="n"/>
      <c r="B100" s="5" t="n"/>
      <c r="C100" s="5" t="n"/>
      <c r="D100" s="17">
        <f>IF(E100="","",IFERROR(INDEX(품목_기준정보!$C$6:$C$25,MATCH(E100,품목_기준정보!$B$6:$B$25,0)),"미등록 품목"))</f>
        <v/>
      </c>
      <c r="E100" s="6" t="n"/>
      <c r="F100" s="17">
        <f>IF(E100="","",IFERROR(INDEX(품목_기준정보!$D$6:$D$25,MATCH(E100,품목_기준정보!$B$6:$B$25,0)),""))</f>
        <v/>
      </c>
      <c r="G100" s="7" t="n"/>
      <c r="H100" s="7" t="n"/>
      <c r="I100" s="6" t="n"/>
      <c r="J100" s="6" t="n"/>
      <c r="K100" s="5" t="n"/>
      <c r="L100" s="17">
        <f>IF(E100="","",IF(OR(G100&lt;0,H100&lt;0),"음수 오류",IF(ISNA(MATCH(E100,품목_기준정보!$B$6:$B$25,0)),"미등록 품목",IF(COUNTIF($B$4:$B$100,B100)&gt;1,"중복 전표","정상"))))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ColWidth="9" defaultRowHeight="16.5"/>
  <cols>
    <col width="13" customWidth="1" min="1" max="1"/>
    <col width="14" customWidth="1" min="2" max="2"/>
    <col width="13" customWidth="1" min="3" max="3"/>
    <col width="20" customWidth="1" min="4" max="4"/>
    <col width="7" customWidth="1" min="5" max="5"/>
    <col width="11" customWidth="1" min="6" max="6"/>
    <col width="13" customWidth="1" min="7" max="7"/>
    <col width="12" customWidth="1" min="8" max="8"/>
    <col width="13" customWidth="1" min="9" max="9"/>
    <col width="18" customWidth="1" min="10" max="10"/>
    <col width="11" customWidth="1" min="11" max="11"/>
    <col width="25" customWidth="1" min="12" max="12"/>
  </cols>
  <sheetData>
    <row r="1" ht="24" customHeight="1">
      <c r="A1" s="2" t="inlineStr">
        <is>
          <t>원부자재 발주 및 미입고 관리 대장</t>
        </is>
      </c>
    </row>
    <row r="2">
      <c r="A2" s="3" t="inlineStr">
        <is>
          <t>※ 발주 내역 및 입고 진행 상황을 등록합니다. 미입고 잔량은 대시보드의 가용재고 및 필요발주량 계산에 자동 반영됩니다.</t>
        </is>
      </c>
    </row>
    <row r="3" ht="17.25" customHeight="1">
      <c r="A3" s="9" t="inlineStr">
        <is>
          <t>발주일</t>
        </is>
      </c>
      <c r="B3" s="9" t="inlineStr">
        <is>
          <t>발주번호</t>
        </is>
      </c>
      <c r="C3" s="9" t="inlineStr">
        <is>
          <t>부품코드</t>
        </is>
      </c>
      <c r="D3" s="9" t="inlineStr">
        <is>
          <t>부품명</t>
        </is>
      </c>
      <c r="E3" s="9" t="inlineStr">
        <is>
          <t>단위</t>
        </is>
      </c>
      <c r="F3" s="9" t="inlineStr">
        <is>
          <t>발주수량</t>
        </is>
      </c>
      <c r="G3" s="9" t="inlineStr">
        <is>
          <t>입고완료수량</t>
        </is>
      </c>
      <c r="H3" s="9" t="inlineStr">
        <is>
          <t>미입고수량</t>
        </is>
      </c>
      <c r="I3" s="9" t="inlineStr">
        <is>
          <t>예정입고일</t>
        </is>
      </c>
      <c r="J3" s="9" t="inlineStr">
        <is>
          <t>거래처</t>
        </is>
      </c>
      <c r="K3" s="9" t="inlineStr">
        <is>
          <t>상태</t>
        </is>
      </c>
      <c r="L3" s="9" t="inlineStr">
        <is>
          <t>비고</t>
        </is>
      </c>
    </row>
    <row r="4">
      <c r="A4" s="16" t="inlineStr">
        <is>
          <t>2026-09-18</t>
        </is>
      </c>
      <c r="B4" s="16" t="inlineStr">
        <is>
          <t>PO-2609-01</t>
        </is>
      </c>
      <c r="C4" s="17">
        <f>IF(D4="","",IFERROR(INDEX(품목_기준정보!$A$6:$A$25,MATCH(D4,품목_기준정보!$B$6:$B$25,0)),""))</f>
        <v/>
      </c>
      <c r="D4" s="18" t="inlineStr">
        <is>
          <t>블랙삼각선반</t>
        </is>
      </c>
      <c r="E4" s="17">
        <f>IF(D4="","",IFERROR(INDEX(품목_기준정보!$D$6:$D$25,MATCH(D4,품목_기준정보!$B$6:$B$25,0)),""))</f>
        <v/>
      </c>
      <c r="F4" s="19" t="n">
        <v>30</v>
      </c>
      <c r="G4" s="19" t="n">
        <v>0</v>
      </c>
      <c r="H4" s="20">
        <f>IF(F4="","",MAX(F4-G4,0))</f>
        <v/>
      </c>
      <c r="I4" s="16" t="inlineStr">
        <is>
          <t>2026-09-22</t>
        </is>
      </c>
      <c r="J4" s="18" t="inlineStr">
        <is>
          <t>(주)대한유리</t>
        </is>
      </c>
      <c r="K4" s="17">
        <f>IF(F4="","-",IF(G4&gt;=F4,"입고완료",IF(G4&gt;0,"부분입고","미입고")))</f>
        <v/>
      </c>
      <c r="L4" s="18" t="inlineStr">
        <is>
          <t>안전재고 주의 부품 긴급 발주</t>
        </is>
      </c>
    </row>
    <row r="5">
      <c r="A5" s="5" t="inlineStr">
        <is>
          <t>2026-09-18</t>
        </is>
      </c>
      <c r="B5" s="5" t="inlineStr">
        <is>
          <t>TEST-PO-001</t>
        </is>
      </c>
      <c r="C5" s="17">
        <f>IF(D5="","",IFERROR(INDEX(품목_기준정보!$A$6:$A$25,MATCH(D5,품목_기준정보!$B$6:$B$25,0)),""))</f>
        <v/>
      </c>
      <c r="D5" s="6" t="inlineStr">
        <is>
          <t>칼브럭피스</t>
        </is>
      </c>
      <c r="E5" s="17">
        <f>IF(D5="","",IFERROR(INDEX(품목_기준정보!$D$6:$D$25,MATCH(D5,품목_기준정보!$B$6:$B$25,0)),""))</f>
        <v/>
      </c>
      <c r="F5" s="7" t="n">
        <v>1000</v>
      </c>
      <c r="G5" s="7" t="n">
        <v>0</v>
      </c>
      <c r="H5" s="20">
        <f>IF(F5="","",MAX(F5-G5,0))</f>
        <v/>
      </c>
      <c r="I5" s="5" t="inlineStr">
        <is>
          <t>2026-09-25</t>
        </is>
      </c>
      <c r="J5" s="6" t="inlineStr">
        <is>
          <t>테스트업체</t>
        </is>
      </c>
      <c r="K5" s="17">
        <f>IF(F5="","-",IF(G5&gt;=F5,"입고완료",IF(G5&gt;0,"부분입고","미입고")))</f>
        <v/>
      </c>
      <c r="L5" s="6" t="inlineStr">
        <is>
          <t>발주테스트</t>
        </is>
      </c>
    </row>
    <row r="6">
      <c r="A6" s="5" t="inlineStr">
        <is>
          <t>2026-09-19</t>
        </is>
      </c>
      <c r="B6" s="5" t="inlineStr">
        <is>
          <t>BATCH-RM-GL-01</t>
        </is>
      </c>
      <c r="C6" s="17">
        <f>IF(D6="","",IFERROR(INDEX(품목_기준정보!$A$6:$A$25,MATCH(D6,품목_기준정보!$B$6:$B$25,0)),""))</f>
        <v/>
      </c>
      <c r="D6" s="6" t="inlineStr">
        <is>
          <t>블랙삼각선반</t>
        </is>
      </c>
      <c r="E6" s="17">
        <f>IF(D6="","",IFERROR(INDEX(품목_기준정보!$D$6:$D$25,MATCH(D6,품목_기준정보!$B$6:$B$25,0)),""))</f>
        <v/>
      </c>
      <c r="F6" s="7" t="n">
        <v>100</v>
      </c>
      <c r="G6" s="7" t="n">
        <v>0</v>
      </c>
      <c r="H6" s="20">
        <f>IF(F6="","",MAX(F6-G6,0))</f>
        <v/>
      </c>
      <c r="I6" s="5" t="inlineStr">
        <is>
          <t>2026-09-30</t>
        </is>
      </c>
      <c r="J6" s="6" t="inlineStr">
        <is>
          <t>자동발주</t>
        </is>
      </c>
      <c r="K6" s="17">
        <f>IF(F6="","-",IF(G6&gt;=F6,"입고완료",IF(G6&gt;0,"부분입고","미입고")))</f>
        <v/>
      </c>
      <c r="L6" s="6" t="inlineStr">
        <is>
          <t>테스트</t>
        </is>
      </c>
    </row>
    <row r="7">
      <c r="A7" s="5" t="inlineStr">
        <is>
          <t>2026-09-19</t>
        </is>
      </c>
      <c r="B7" s="5" t="inlineStr">
        <is>
          <t>BATCH-RM-GL-04</t>
        </is>
      </c>
      <c r="C7" s="17">
        <f>IF(D7="","",IFERROR(INDEX(품목_기준정보!$A$6:$A$25,MATCH(D7,품목_기준정보!$B$6:$B$25,0)),""))</f>
        <v/>
      </c>
      <c r="D7" s="6" t="inlineStr">
        <is>
          <t>그린삼각선반</t>
        </is>
      </c>
      <c r="E7" s="17">
        <f>IF(D7="","",IFERROR(INDEX(품목_기준정보!$D$6:$D$25,MATCH(D7,품목_기준정보!$B$6:$B$25,0)),""))</f>
        <v/>
      </c>
      <c r="F7" s="7" t="n">
        <v>75</v>
      </c>
      <c r="G7" s="7" t="n">
        <v>0</v>
      </c>
      <c r="H7" s="20">
        <f>IF(F7="","",MAX(F7-G7,0))</f>
        <v/>
      </c>
      <c r="I7" s="5" t="inlineStr">
        <is>
          <t>2026-09-30</t>
        </is>
      </c>
      <c r="J7" s="6" t="inlineStr">
        <is>
          <t>자동발주</t>
        </is>
      </c>
      <c r="K7" s="17">
        <f>IF(F7="","-",IF(G7&gt;=F7,"입고완료",IF(G7&gt;0,"부분입고","미입고")))</f>
        <v/>
      </c>
      <c r="L7" s="6" t="inlineStr">
        <is>
          <t>테스트</t>
        </is>
      </c>
    </row>
    <row r="8">
      <c r="A8" s="5" t="inlineStr">
        <is>
          <t>2026-09-19</t>
        </is>
      </c>
      <c r="B8" s="5" t="inlineStr">
        <is>
          <t>BATCH-RM-GD-02</t>
        </is>
      </c>
      <c r="C8" s="17">
        <f>IF(D8="","",IFERROR(INDEX(품목_기준정보!$A$6:$A$25,MATCH(D8,품목_기준정보!$B$6:$B$25,0)),""))</f>
        <v/>
      </c>
      <c r="D8" s="6" t="inlineStr">
        <is>
          <t>블랙일자선반가이드</t>
        </is>
      </c>
      <c r="E8" s="17">
        <f>IF(D8="","",IFERROR(INDEX(품목_기준정보!$D$6:$D$25,MATCH(D8,품목_기준정보!$B$6:$B$25,0)),""))</f>
        <v/>
      </c>
      <c r="F8" s="7" t="n">
        <v>40</v>
      </c>
      <c r="G8" s="7" t="n">
        <v>0</v>
      </c>
      <c r="H8" s="20">
        <f>IF(F8="","",MAX(F8-G8,0))</f>
        <v/>
      </c>
      <c r="I8" s="5" t="inlineStr">
        <is>
          <t>2026-09-30</t>
        </is>
      </c>
      <c r="J8" s="6" t="inlineStr">
        <is>
          <t>자동발주</t>
        </is>
      </c>
      <c r="K8" s="17">
        <f>IF(F8="","-",IF(G8&gt;=F8,"입고완료",IF(G8&gt;0,"부분입고","미입고")))</f>
        <v/>
      </c>
      <c r="L8" s="6" t="inlineStr">
        <is>
          <t>테스트</t>
        </is>
      </c>
    </row>
    <row r="9">
      <c r="A9" s="5" t="n"/>
      <c r="B9" s="5" t="n"/>
      <c r="C9" s="17">
        <f>IF(D9="","",IFERROR(INDEX(품목_기준정보!$A$6:$A$25,MATCH(D9,품목_기준정보!$B$6:$B$25,0)),""))</f>
        <v/>
      </c>
      <c r="D9" s="6" t="n"/>
      <c r="E9" s="17">
        <f>IF(D9="","",IFERROR(INDEX(품목_기준정보!$D$6:$D$25,MATCH(D9,품목_기준정보!$B$6:$B$25,0)),""))</f>
        <v/>
      </c>
      <c r="F9" s="7" t="n"/>
      <c r="G9" s="7" t="n"/>
      <c r="H9" s="20">
        <f>IF(F9="","",MAX(F9-G9,0))</f>
        <v/>
      </c>
      <c r="I9" s="5" t="n"/>
      <c r="J9" s="6" t="n"/>
      <c r="K9" s="17">
        <f>IF(F9="","-",IF(G9&gt;=F9,"입고완료",IF(G9&gt;0,"부분입고","미입고")))</f>
        <v/>
      </c>
      <c r="L9" s="6" t="n"/>
    </row>
    <row r="10">
      <c r="A10" s="5" t="n"/>
      <c r="B10" s="5" t="n"/>
      <c r="C10" s="17">
        <f>IF(D10="","",IFERROR(INDEX(품목_기준정보!$A$6:$A$25,MATCH(D10,품목_기준정보!$B$6:$B$25,0)),""))</f>
        <v/>
      </c>
      <c r="D10" s="6" t="n"/>
      <c r="E10" s="17">
        <f>IF(D10="","",IFERROR(INDEX(품목_기준정보!$D$6:$D$25,MATCH(D10,품목_기준정보!$B$6:$B$25,0)),""))</f>
        <v/>
      </c>
      <c r="F10" s="7" t="n"/>
      <c r="G10" s="7" t="n"/>
      <c r="H10" s="20">
        <f>IF(F10="","",MAX(F10-G10,0))</f>
        <v/>
      </c>
      <c r="I10" s="5" t="n"/>
      <c r="J10" s="6" t="n"/>
      <c r="K10" s="17">
        <f>IF(F10="","-",IF(G10&gt;=F10,"입고완료",IF(G10&gt;0,"부분입고","미입고")))</f>
        <v/>
      </c>
      <c r="L10" s="6" t="n"/>
    </row>
    <row r="11">
      <c r="A11" s="5" t="n"/>
      <c r="B11" s="5" t="n"/>
      <c r="C11" s="17">
        <f>IF(D11="","",IFERROR(INDEX(품목_기준정보!$A$6:$A$25,MATCH(D11,품목_기준정보!$B$6:$B$25,0)),""))</f>
        <v/>
      </c>
      <c r="D11" s="6" t="n"/>
      <c r="E11" s="17">
        <f>IF(D11="","",IFERROR(INDEX(품목_기준정보!$D$6:$D$25,MATCH(D11,품목_기준정보!$B$6:$B$25,0)),""))</f>
        <v/>
      </c>
      <c r="F11" s="7" t="n"/>
      <c r="G11" s="7" t="n"/>
      <c r="H11" s="20">
        <f>IF(F11="","",MAX(F11-G11,0))</f>
        <v/>
      </c>
      <c r="I11" s="5" t="n"/>
      <c r="J11" s="6" t="n"/>
      <c r="K11" s="17">
        <f>IF(F11="","-",IF(G11&gt;=F11,"입고완료",IF(G11&gt;0,"부분입고","미입고")))</f>
        <v/>
      </c>
      <c r="L11" s="6" t="n"/>
    </row>
    <row r="12">
      <c r="A12" s="5" t="n"/>
      <c r="B12" s="5" t="n"/>
      <c r="C12" s="17">
        <f>IF(D12="","",IFERROR(INDEX(품목_기준정보!$A$6:$A$25,MATCH(D12,품목_기준정보!$B$6:$B$25,0)),""))</f>
        <v/>
      </c>
      <c r="D12" s="6" t="n"/>
      <c r="E12" s="17">
        <f>IF(D12="","",IFERROR(INDEX(품목_기준정보!$D$6:$D$25,MATCH(D12,품목_기준정보!$B$6:$B$25,0)),""))</f>
        <v/>
      </c>
      <c r="F12" s="7" t="n"/>
      <c r="G12" s="7" t="n"/>
      <c r="H12" s="20">
        <f>IF(F12="","",MAX(F12-G12,0))</f>
        <v/>
      </c>
      <c r="I12" s="5" t="n"/>
      <c r="J12" s="6" t="n"/>
      <c r="K12" s="17">
        <f>IF(F12="","-",IF(G12&gt;=F12,"입고완료",IF(G12&gt;0,"부분입고","미입고")))</f>
        <v/>
      </c>
      <c r="L12" s="6" t="n"/>
    </row>
    <row r="13">
      <c r="A13" s="5" t="n"/>
      <c r="B13" s="5" t="n"/>
      <c r="C13" s="17">
        <f>IF(D13="","",IFERROR(INDEX(품목_기준정보!$A$6:$A$25,MATCH(D13,품목_기준정보!$B$6:$B$25,0)),""))</f>
        <v/>
      </c>
      <c r="D13" s="6" t="n"/>
      <c r="E13" s="17">
        <f>IF(D13="","",IFERROR(INDEX(품목_기준정보!$D$6:$D$25,MATCH(D13,품목_기준정보!$B$6:$B$25,0)),""))</f>
        <v/>
      </c>
      <c r="F13" s="7" t="n"/>
      <c r="G13" s="7" t="n"/>
      <c r="H13" s="20">
        <f>IF(F13="","",MAX(F13-G13,0))</f>
        <v/>
      </c>
      <c r="I13" s="5" t="n"/>
      <c r="J13" s="6" t="n"/>
      <c r="K13" s="17">
        <f>IF(F13="","-",IF(G13&gt;=F13,"입고완료",IF(G13&gt;0,"부분입고","미입고")))</f>
        <v/>
      </c>
      <c r="L13" s="6" t="n"/>
    </row>
    <row r="14">
      <c r="A14" s="5" t="n"/>
      <c r="B14" s="5" t="n"/>
      <c r="C14" s="17">
        <f>IF(D14="","",IFERROR(INDEX(품목_기준정보!$A$6:$A$25,MATCH(D14,품목_기준정보!$B$6:$B$25,0)),""))</f>
        <v/>
      </c>
      <c r="D14" s="6" t="n"/>
      <c r="E14" s="17">
        <f>IF(D14="","",IFERROR(INDEX(품목_기준정보!$D$6:$D$25,MATCH(D14,품목_기준정보!$B$6:$B$25,0)),""))</f>
        <v/>
      </c>
      <c r="F14" s="7" t="n"/>
      <c r="G14" s="7" t="n"/>
      <c r="H14" s="20">
        <f>IF(F14="","",MAX(F14-G14,0))</f>
        <v/>
      </c>
      <c r="I14" s="5" t="n"/>
      <c r="J14" s="6" t="n"/>
      <c r="K14" s="17">
        <f>IF(F14="","-",IF(G14&gt;=F14,"입고완료",IF(G14&gt;0,"부분입고","미입고")))</f>
        <v/>
      </c>
      <c r="L14" s="6" t="n"/>
    </row>
    <row r="15">
      <c r="A15" s="5" t="n"/>
      <c r="B15" s="5" t="n"/>
      <c r="C15" s="17">
        <f>IF(D15="","",IFERROR(INDEX(품목_기준정보!$A$6:$A$25,MATCH(D15,품목_기준정보!$B$6:$B$25,0)),""))</f>
        <v/>
      </c>
      <c r="D15" s="6" t="n"/>
      <c r="E15" s="17">
        <f>IF(D15="","",IFERROR(INDEX(품목_기준정보!$D$6:$D$25,MATCH(D15,품목_기준정보!$B$6:$B$25,0)),""))</f>
        <v/>
      </c>
      <c r="F15" s="7" t="n"/>
      <c r="G15" s="7" t="n"/>
      <c r="H15" s="20">
        <f>IF(F15="","",MAX(F15-G15,0))</f>
        <v/>
      </c>
      <c r="I15" s="5" t="n"/>
      <c r="J15" s="6" t="n"/>
      <c r="K15" s="17">
        <f>IF(F15="","-",IF(G15&gt;=F15,"입고완료",IF(G15&gt;0,"부분입고","미입고")))</f>
        <v/>
      </c>
      <c r="L15" s="6" t="n"/>
    </row>
    <row r="16">
      <c r="A16" s="5" t="n"/>
      <c r="B16" s="5" t="n"/>
      <c r="C16" s="17">
        <f>IF(D16="","",IFERROR(INDEX(품목_기준정보!$A$6:$A$25,MATCH(D16,품목_기준정보!$B$6:$B$25,0)),""))</f>
        <v/>
      </c>
      <c r="D16" s="6" t="n"/>
      <c r="E16" s="17">
        <f>IF(D16="","",IFERROR(INDEX(품목_기준정보!$D$6:$D$25,MATCH(D16,품목_기준정보!$B$6:$B$25,0)),""))</f>
        <v/>
      </c>
      <c r="F16" s="7" t="n"/>
      <c r="G16" s="7" t="n"/>
      <c r="H16" s="20">
        <f>IF(F16="","",MAX(F16-G16,0))</f>
        <v/>
      </c>
      <c r="I16" s="5" t="n"/>
      <c r="J16" s="6" t="n"/>
      <c r="K16" s="17">
        <f>IF(F16="","-",IF(G16&gt;=F16,"입고완료",IF(G16&gt;0,"부분입고","미입고")))</f>
        <v/>
      </c>
      <c r="L16" s="6" t="n"/>
    </row>
    <row r="17">
      <c r="A17" s="5" t="n"/>
      <c r="B17" s="5" t="n"/>
      <c r="C17" s="17">
        <f>IF(D17="","",IFERROR(INDEX(품목_기준정보!$A$6:$A$25,MATCH(D17,품목_기준정보!$B$6:$B$25,0)),""))</f>
        <v/>
      </c>
      <c r="D17" s="6" t="n"/>
      <c r="E17" s="17">
        <f>IF(D17="","",IFERROR(INDEX(품목_기준정보!$D$6:$D$25,MATCH(D17,품목_기준정보!$B$6:$B$25,0)),""))</f>
        <v/>
      </c>
      <c r="F17" s="7" t="n"/>
      <c r="G17" s="7" t="n"/>
      <c r="H17" s="20">
        <f>IF(F17="","",MAX(F17-G17,0))</f>
        <v/>
      </c>
      <c r="I17" s="5" t="n"/>
      <c r="J17" s="6" t="n"/>
      <c r="K17" s="17">
        <f>IF(F17="","-",IF(G17&gt;=F17,"입고완료",IF(G17&gt;0,"부분입고","미입고")))</f>
        <v/>
      </c>
      <c r="L17" s="6" t="n"/>
    </row>
    <row r="18">
      <c r="A18" s="5" t="n"/>
      <c r="B18" s="5" t="n"/>
      <c r="C18" s="17">
        <f>IF(D18="","",IFERROR(INDEX(품목_기준정보!$A$6:$A$25,MATCH(D18,품목_기준정보!$B$6:$B$25,0)),""))</f>
        <v/>
      </c>
      <c r="D18" s="6" t="n"/>
      <c r="E18" s="17">
        <f>IF(D18="","",IFERROR(INDEX(품목_기준정보!$D$6:$D$25,MATCH(D18,품목_기준정보!$B$6:$B$25,0)),""))</f>
        <v/>
      </c>
      <c r="F18" s="7" t="n"/>
      <c r="G18" s="7" t="n"/>
      <c r="H18" s="20">
        <f>IF(F18="","",MAX(F18-G18,0))</f>
        <v/>
      </c>
      <c r="I18" s="5" t="n"/>
      <c r="J18" s="6" t="n"/>
      <c r="K18" s="17">
        <f>IF(F18="","-",IF(G18&gt;=F18,"입고완료",IF(G18&gt;0,"부분입고","미입고")))</f>
        <v/>
      </c>
      <c r="L18" s="6" t="n"/>
    </row>
    <row r="19">
      <c r="A19" s="5" t="n"/>
      <c r="B19" s="5" t="n"/>
      <c r="C19" s="17">
        <f>IF(D19="","",IFERROR(INDEX(품목_기준정보!$A$6:$A$25,MATCH(D19,품목_기준정보!$B$6:$B$25,0)),""))</f>
        <v/>
      </c>
      <c r="D19" s="6" t="n"/>
      <c r="E19" s="17">
        <f>IF(D19="","",IFERROR(INDEX(품목_기준정보!$D$6:$D$25,MATCH(D19,품목_기준정보!$B$6:$B$25,0)),""))</f>
        <v/>
      </c>
      <c r="F19" s="7" t="n"/>
      <c r="G19" s="7" t="n"/>
      <c r="H19" s="20">
        <f>IF(F19="","",MAX(F19-G19,0))</f>
        <v/>
      </c>
      <c r="I19" s="5" t="n"/>
      <c r="J19" s="6" t="n"/>
      <c r="K19" s="17">
        <f>IF(F19="","-",IF(G19&gt;=F19,"입고완료",IF(G19&gt;0,"부분입고","미입고")))</f>
        <v/>
      </c>
      <c r="L19" s="6" t="n"/>
    </row>
    <row r="20">
      <c r="A20" s="5" t="n"/>
      <c r="B20" s="5" t="n"/>
      <c r="C20" s="17">
        <f>IF(D20="","",IFERROR(INDEX(품목_기준정보!$A$6:$A$25,MATCH(D20,품목_기준정보!$B$6:$B$25,0)),""))</f>
        <v/>
      </c>
      <c r="D20" s="6" t="n"/>
      <c r="E20" s="17">
        <f>IF(D20="","",IFERROR(INDEX(품목_기준정보!$D$6:$D$25,MATCH(D20,품목_기준정보!$B$6:$B$25,0)),""))</f>
        <v/>
      </c>
      <c r="F20" s="7" t="n"/>
      <c r="G20" s="7" t="n"/>
      <c r="H20" s="20">
        <f>IF(F20="","",MAX(F20-G20,0))</f>
        <v/>
      </c>
      <c r="I20" s="5" t="n"/>
      <c r="J20" s="6" t="n"/>
      <c r="K20" s="17">
        <f>IF(F20="","-",IF(G20&gt;=F20,"입고완료",IF(G20&gt;0,"부분입고","미입고")))</f>
        <v/>
      </c>
      <c r="L20" s="6" t="n"/>
    </row>
    <row r="21">
      <c r="A21" s="5" t="n"/>
      <c r="B21" s="5" t="n"/>
      <c r="C21" s="17">
        <f>IF(D21="","",IFERROR(INDEX(품목_기준정보!$A$6:$A$25,MATCH(D21,품목_기준정보!$B$6:$B$25,0)),""))</f>
        <v/>
      </c>
      <c r="D21" s="6" t="n"/>
      <c r="E21" s="17">
        <f>IF(D21="","",IFERROR(INDEX(품목_기준정보!$D$6:$D$25,MATCH(D21,품목_기준정보!$B$6:$B$25,0)),""))</f>
        <v/>
      </c>
      <c r="F21" s="7" t="n"/>
      <c r="G21" s="7" t="n"/>
      <c r="H21" s="20">
        <f>IF(F21="","",MAX(F21-G21,0))</f>
        <v/>
      </c>
      <c r="I21" s="5" t="n"/>
      <c r="J21" s="6" t="n"/>
      <c r="K21" s="17">
        <f>IF(F21="","-",IF(G21&gt;=F21,"입고완료",IF(G21&gt;0,"부분입고","미입고")))</f>
        <v/>
      </c>
      <c r="L21" s="6" t="n"/>
    </row>
    <row r="22">
      <c r="A22" s="5" t="n"/>
      <c r="B22" s="5" t="n"/>
      <c r="C22" s="17">
        <f>IF(D22="","",IFERROR(INDEX(품목_기준정보!$A$6:$A$25,MATCH(D22,품목_기준정보!$B$6:$B$25,0)),""))</f>
        <v/>
      </c>
      <c r="D22" s="6" t="n"/>
      <c r="E22" s="17">
        <f>IF(D22="","",IFERROR(INDEX(품목_기준정보!$D$6:$D$25,MATCH(D22,품목_기준정보!$B$6:$B$25,0)),""))</f>
        <v/>
      </c>
      <c r="F22" s="7" t="n"/>
      <c r="G22" s="7" t="n"/>
      <c r="H22" s="20">
        <f>IF(F22="","",MAX(F22-G22,0))</f>
        <v/>
      </c>
      <c r="I22" s="5" t="n"/>
      <c r="J22" s="6" t="n"/>
      <c r="K22" s="17">
        <f>IF(F22="","-",IF(G22&gt;=F22,"입고완료",IF(G22&gt;0,"부분입고","미입고")))</f>
        <v/>
      </c>
      <c r="L22" s="6" t="n"/>
    </row>
    <row r="23">
      <c r="A23" s="5" t="n"/>
      <c r="B23" s="5" t="n"/>
      <c r="C23" s="17">
        <f>IF(D23="","",IFERROR(INDEX(품목_기준정보!$A$6:$A$25,MATCH(D23,품목_기준정보!$B$6:$B$25,0)),""))</f>
        <v/>
      </c>
      <c r="D23" s="6" t="n"/>
      <c r="E23" s="17">
        <f>IF(D23="","",IFERROR(INDEX(품목_기준정보!$D$6:$D$25,MATCH(D23,품목_기준정보!$B$6:$B$25,0)),""))</f>
        <v/>
      </c>
      <c r="F23" s="7" t="n"/>
      <c r="G23" s="7" t="n"/>
      <c r="H23" s="20">
        <f>IF(F23="","",MAX(F23-G23,0))</f>
        <v/>
      </c>
      <c r="I23" s="5" t="n"/>
      <c r="J23" s="6" t="n"/>
      <c r="K23" s="17">
        <f>IF(F23="","-",IF(G23&gt;=F23,"입고완료",IF(G23&gt;0,"부분입고","미입고")))</f>
        <v/>
      </c>
      <c r="L23" s="6" t="n"/>
    </row>
    <row r="24">
      <c r="A24" s="5" t="n"/>
      <c r="B24" s="5" t="n"/>
      <c r="C24" s="17">
        <f>IF(D24="","",IFERROR(INDEX(품목_기준정보!$A$6:$A$25,MATCH(D24,품목_기준정보!$B$6:$B$25,0)),""))</f>
        <v/>
      </c>
      <c r="D24" s="6" t="n"/>
      <c r="E24" s="17">
        <f>IF(D24="","",IFERROR(INDEX(품목_기준정보!$D$6:$D$25,MATCH(D24,품목_기준정보!$B$6:$B$25,0)),""))</f>
        <v/>
      </c>
      <c r="F24" s="7" t="n"/>
      <c r="G24" s="7" t="n"/>
      <c r="H24" s="20">
        <f>IF(F24="","",MAX(F24-G24,0))</f>
        <v/>
      </c>
      <c r="I24" s="5" t="n"/>
      <c r="J24" s="6" t="n"/>
      <c r="K24" s="17">
        <f>IF(F24="","-",IF(G24&gt;=F24,"입고완료",IF(G24&gt;0,"부분입고","미입고")))</f>
        <v/>
      </c>
      <c r="L24" s="6" t="n"/>
    </row>
    <row r="25">
      <c r="A25" s="5" t="n"/>
      <c r="B25" s="5" t="n"/>
      <c r="C25" s="17">
        <f>IF(D25="","",IFERROR(INDEX(품목_기준정보!$A$6:$A$25,MATCH(D25,품목_기준정보!$B$6:$B$25,0)),""))</f>
        <v/>
      </c>
      <c r="D25" s="6" t="n"/>
      <c r="E25" s="17">
        <f>IF(D25="","",IFERROR(INDEX(품목_기준정보!$D$6:$D$25,MATCH(D25,품목_기준정보!$B$6:$B$25,0)),""))</f>
        <v/>
      </c>
      <c r="F25" s="7" t="n"/>
      <c r="G25" s="7" t="n"/>
      <c r="H25" s="20">
        <f>IF(F25="","",MAX(F25-G25,0))</f>
        <v/>
      </c>
      <c r="I25" s="5" t="n"/>
      <c r="J25" s="6" t="n"/>
      <c r="K25" s="17">
        <f>IF(F25="","-",IF(G25&gt;=F25,"입고완료",IF(G25&gt;0,"부분입고","미입고")))</f>
        <v/>
      </c>
      <c r="L25" s="6" t="n"/>
    </row>
    <row r="26">
      <c r="A26" s="5" t="n"/>
      <c r="B26" s="5" t="n"/>
      <c r="C26" s="17">
        <f>IF(D26="","",IFERROR(INDEX(품목_기준정보!$A$6:$A$25,MATCH(D26,품목_기준정보!$B$6:$B$25,0)),""))</f>
        <v/>
      </c>
      <c r="D26" s="6" t="n"/>
      <c r="E26" s="17">
        <f>IF(D26="","",IFERROR(INDEX(품목_기준정보!$D$6:$D$25,MATCH(D26,품목_기준정보!$B$6:$B$25,0)),""))</f>
        <v/>
      </c>
      <c r="F26" s="7" t="n"/>
      <c r="G26" s="7" t="n"/>
      <c r="H26" s="20">
        <f>IF(F26="","",MAX(F26-G26,0))</f>
        <v/>
      </c>
      <c r="I26" s="5" t="n"/>
      <c r="J26" s="6" t="n"/>
      <c r="K26" s="17">
        <f>IF(F26="","-",IF(G26&gt;=F26,"입고완료",IF(G26&gt;0,"부분입고","미입고")))</f>
        <v/>
      </c>
      <c r="L26" s="6" t="n"/>
    </row>
    <row r="27">
      <c r="A27" s="5" t="n"/>
      <c r="B27" s="5" t="n"/>
      <c r="C27" s="17">
        <f>IF(D27="","",IFERROR(INDEX(품목_기준정보!$A$6:$A$25,MATCH(D27,품목_기준정보!$B$6:$B$25,0)),""))</f>
        <v/>
      </c>
      <c r="D27" s="6" t="n"/>
      <c r="E27" s="17">
        <f>IF(D27="","",IFERROR(INDEX(품목_기준정보!$D$6:$D$25,MATCH(D27,품목_기준정보!$B$6:$B$25,0)),""))</f>
        <v/>
      </c>
      <c r="F27" s="7" t="n"/>
      <c r="G27" s="7" t="n"/>
      <c r="H27" s="20">
        <f>IF(F27="","",MAX(F27-G27,0))</f>
        <v/>
      </c>
      <c r="I27" s="5" t="n"/>
      <c r="J27" s="6" t="n"/>
      <c r="K27" s="17">
        <f>IF(F27="","-",IF(G27&gt;=F27,"입고완료",IF(G27&gt;0,"부분입고","미입고")))</f>
        <v/>
      </c>
      <c r="L27" s="6" t="n"/>
    </row>
    <row r="28">
      <c r="A28" s="5" t="n"/>
      <c r="B28" s="5" t="n"/>
      <c r="C28" s="17">
        <f>IF(D28="","",IFERROR(INDEX(품목_기준정보!$A$6:$A$25,MATCH(D28,품목_기준정보!$B$6:$B$25,0)),""))</f>
        <v/>
      </c>
      <c r="D28" s="6" t="n"/>
      <c r="E28" s="17">
        <f>IF(D28="","",IFERROR(INDEX(품목_기준정보!$D$6:$D$25,MATCH(D28,품목_기준정보!$B$6:$B$25,0)),""))</f>
        <v/>
      </c>
      <c r="F28" s="7" t="n"/>
      <c r="G28" s="7" t="n"/>
      <c r="H28" s="20">
        <f>IF(F28="","",MAX(F28-G28,0))</f>
        <v/>
      </c>
      <c r="I28" s="5" t="n"/>
      <c r="J28" s="6" t="n"/>
      <c r="K28" s="17">
        <f>IF(F28="","-",IF(G28&gt;=F28,"입고완료",IF(G28&gt;0,"부분입고","미입고")))</f>
        <v/>
      </c>
      <c r="L28" s="6" t="n"/>
    </row>
    <row r="29">
      <c r="A29" s="5" t="n"/>
      <c r="B29" s="5" t="n"/>
      <c r="C29" s="17">
        <f>IF(D29="","",IFERROR(INDEX(품목_기준정보!$A$6:$A$25,MATCH(D29,품목_기준정보!$B$6:$B$25,0)),""))</f>
        <v/>
      </c>
      <c r="D29" s="6" t="n"/>
      <c r="E29" s="17">
        <f>IF(D29="","",IFERROR(INDEX(품목_기준정보!$D$6:$D$25,MATCH(D29,품목_기준정보!$B$6:$B$25,0)),""))</f>
        <v/>
      </c>
      <c r="F29" s="7" t="n"/>
      <c r="G29" s="7" t="n"/>
      <c r="H29" s="20">
        <f>IF(F29="","",MAX(F29-G29,0))</f>
        <v/>
      </c>
      <c r="I29" s="5" t="n"/>
      <c r="J29" s="6" t="n"/>
      <c r="K29" s="17">
        <f>IF(F29="","-",IF(G29&gt;=F29,"입고완료",IF(G29&gt;0,"부분입고","미입고")))</f>
        <v/>
      </c>
      <c r="L29" s="6" t="n"/>
    </row>
    <row r="30">
      <c r="A30" s="5" t="n"/>
      <c r="B30" s="5" t="n"/>
      <c r="C30" s="17">
        <f>IF(D30="","",IFERROR(INDEX(품목_기준정보!$A$6:$A$25,MATCH(D30,품목_기준정보!$B$6:$B$25,0)),""))</f>
        <v/>
      </c>
      <c r="D30" s="6" t="n"/>
      <c r="E30" s="17">
        <f>IF(D30="","",IFERROR(INDEX(품목_기준정보!$D$6:$D$25,MATCH(D30,품목_기준정보!$B$6:$B$25,0)),""))</f>
        <v/>
      </c>
      <c r="F30" s="7" t="n"/>
      <c r="G30" s="7" t="n"/>
      <c r="H30" s="20">
        <f>IF(F30="","",MAX(F30-G30,0))</f>
        <v/>
      </c>
      <c r="I30" s="5" t="n"/>
      <c r="J30" s="6" t="n"/>
      <c r="K30" s="17">
        <f>IF(F30="","-",IF(G30&gt;=F30,"입고완료",IF(G30&gt;0,"부분입고","미입고")))</f>
        <v/>
      </c>
      <c r="L30" s="6" t="n"/>
    </row>
    <row r="31">
      <c r="A31" s="5" t="n"/>
      <c r="B31" s="5" t="n"/>
      <c r="C31" s="17">
        <f>IF(D31="","",IFERROR(INDEX(품목_기준정보!$A$6:$A$25,MATCH(D31,품목_기준정보!$B$6:$B$25,0)),""))</f>
        <v/>
      </c>
      <c r="D31" s="6" t="n"/>
      <c r="E31" s="17">
        <f>IF(D31="","",IFERROR(INDEX(품목_기준정보!$D$6:$D$25,MATCH(D31,품목_기준정보!$B$6:$B$25,0)),""))</f>
        <v/>
      </c>
      <c r="F31" s="7" t="n"/>
      <c r="G31" s="7" t="n"/>
      <c r="H31" s="20">
        <f>IF(F31="","",MAX(F31-G31,0))</f>
        <v/>
      </c>
      <c r="I31" s="5" t="n"/>
      <c r="J31" s="6" t="n"/>
      <c r="K31" s="17">
        <f>IF(F31="","-",IF(G31&gt;=F31,"입고완료",IF(G31&gt;0,"부분입고","미입고")))</f>
        <v/>
      </c>
      <c r="L31" s="6" t="n"/>
    </row>
    <row r="32">
      <c r="A32" s="5" t="n"/>
      <c r="B32" s="5" t="n"/>
      <c r="C32" s="17">
        <f>IF(D32="","",IFERROR(INDEX(품목_기준정보!$A$6:$A$25,MATCH(D32,품목_기준정보!$B$6:$B$25,0)),""))</f>
        <v/>
      </c>
      <c r="D32" s="6" t="n"/>
      <c r="E32" s="17">
        <f>IF(D32="","",IFERROR(INDEX(품목_기준정보!$D$6:$D$25,MATCH(D32,품목_기준정보!$B$6:$B$25,0)),""))</f>
        <v/>
      </c>
      <c r="F32" s="7" t="n"/>
      <c r="G32" s="7" t="n"/>
      <c r="H32" s="20">
        <f>IF(F32="","",MAX(F32-G32,0))</f>
        <v/>
      </c>
      <c r="I32" s="5" t="n"/>
      <c r="J32" s="6" t="n"/>
      <c r="K32" s="17">
        <f>IF(F32="","-",IF(G32&gt;=F32,"입고완료",IF(G32&gt;0,"부분입고","미입고")))</f>
        <v/>
      </c>
      <c r="L32" s="6" t="n"/>
    </row>
    <row r="33">
      <c r="A33" s="5" t="n"/>
      <c r="B33" s="5" t="n"/>
      <c r="C33" s="17">
        <f>IF(D33="","",IFERROR(INDEX(품목_기준정보!$A$6:$A$25,MATCH(D33,품목_기준정보!$B$6:$B$25,0)),""))</f>
        <v/>
      </c>
      <c r="D33" s="6" t="n"/>
      <c r="E33" s="17">
        <f>IF(D33="","",IFERROR(INDEX(품목_기준정보!$D$6:$D$25,MATCH(D33,품목_기준정보!$B$6:$B$25,0)),""))</f>
        <v/>
      </c>
      <c r="F33" s="7" t="n"/>
      <c r="G33" s="7" t="n"/>
      <c r="H33" s="20">
        <f>IF(F33="","",MAX(F33-G33,0))</f>
        <v/>
      </c>
      <c r="I33" s="5" t="n"/>
      <c r="J33" s="6" t="n"/>
      <c r="K33" s="17">
        <f>IF(F33="","-",IF(G33&gt;=F33,"입고완료",IF(G33&gt;0,"부분입고","미입고")))</f>
        <v/>
      </c>
      <c r="L33" s="6" t="n"/>
    </row>
    <row r="34">
      <c r="A34" s="5" t="n"/>
      <c r="B34" s="5" t="n"/>
      <c r="C34" s="17">
        <f>IF(D34="","",IFERROR(INDEX(품목_기준정보!$A$6:$A$25,MATCH(D34,품목_기준정보!$B$6:$B$25,0)),""))</f>
        <v/>
      </c>
      <c r="D34" s="6" t="n"/>
      <c r="E34" s="17">
        <f>IF(D34="","",IFERROR(INDEX(품목_기준정보!$D$6:$D$25,MATCH(D34,품목_기준정보!$B$6:$B$25,0)),""))</f>
        <v/>
      </c>
      <c r="F34" s="7" t="n"/>
      <c r="G34" s="7" t="n"/>
      <c r="H34" s="20">
        <f>IF(F34="","",MAX(F34-G34,0))</f>
        <v/>
      </c>
      <c r="I34" s="5" t="n"/>
      <c r="J34" s="6" t="n"/>
      <c r="K34" s="17">
        <f>IF(F34="","-",IF(G34&gt;=F34,"입고완료",IF(G34&gt;0,"부분입고","미입고")))</f>
        <v/>
      </c>
      <c r="L34" s="6" t="n"/>
    </row>
    <row r="35">
      <c r="A35" s="5" t="n"/>
      <c r="B35" s="5" t="n"/>
      <c r="C35" s="17">
        <f>IF(D35="","",IFERROR(INDEX(품목_기준정보!$A$6:$A$25,MATCH(D35,품목_기준정보!$B$6:$B$25,0)),""))</f>
        <v/>
      </c>
      <c r="D35" s="6" t="n"/>
      <c r="E35" s="17">
        <f>IF(D35="","",IFERROR(INDEX(품목_기준정보!$D$6:$D$25,MATCH(D35,품목_기준정보!$B$6:$B$25,0)),""))</f>
        <v/>
      </c>
      <c r="F35" s="7" t="n"/>
      <c r="G35" s="7" t="n"/>
      <c r="H35" s="20">
        <f>IF(F35="","",MAX(F35-G35,0))</f>
        <v/>
      </c>
      <c r="I35" s="5" t="n"/>
      <c r="J35" s="6" t="n"/>
      <c r="K35" s="17">
        <f>IF(F35="","-",IF(G35&gt;=F35,"입고완료",IF(G35&gt;0,"부분입고","미입고")))</f>
        <v/>
      </c>
      <c r="L35" s="6" t="n"/>
    </row>
    <row r="36">
      <c r="A36" s="5" t="n"/>
      <c r="B36" s="5" t="n"/>
      <c r="C36" s="17">
        <f>IF(D36="","",IFERROR(INDEX(품목_기준정보!$A$6:$A$25,MATCH(D36,품목_기준정보!$B$6:$B$25,0)),""))</f>
        <v/>
      </c>
      <c r="D36" s="6" t="n"/>
      <c r="E36" s="17">
        <f>IF(D36="","",IFERROR(INDEX(품목_기준정보!$D$6:$D$25,MATCH(D36,품목_기준정보!$B$6:$B$25,0)),""))</f>
        <v/>
      </c>
      <c r="F36" s="7" t="n"/>
      <c r="G36" s="7" t="n"/>
      <c r="H36" s="20">
        <f>IF(F36="","",MAX(F36-G36,0))</f>
        <v/>
      </c>
      <c r="I36" s="5" t="n"/>
      <c r="J36" s="6" t="n"/>
      <c r="K36" s="17">
        <f>IF(F36="","-",IF(G36&gt;=F36,"입고완료",IF(G36&gt;0,"부분입고","미입고")))</f>
        <v/>
      </c>
      <c r="L36" s="6" t="n"/>
    </row>
    <row r="37">
      <c r="A37" s="5" t="n"/>
      <c r="B37" s="5" t="n"/>
      <c r="C37" s="17">
        <f>IF(D37="","",IFERROR(INDEX(품목_기준정보!$A$6:$A$25,MATCH(D37,품목_기준정보!$B$6:$B$25,0)),""))</f>
        <v/>
      </c>
      <c r="D37" s="6" t="n"/>
      <c r="E37" s="17">
        <f>IF(D37="","",IFERROR(INDEX(품목_기준정보!$D$6:$D$25,MATCH(D37,품목_기준정보!$B$6:$B$25,0)),""))</f>
        <v/>
      </c>
      <c r="F37" s="7" t="n"/>
      <c r="G37" s="7" t="n"/>
      <c r="H37" s="20">
        <f>IF(F37="","",MAX(F37-G37,0))</f>
        <v/>
      </c>
      <c r="I37" s="5" t="n"/>
      <c r="J37" s="6" t="n"/>
      <c r="K37" s="17">
        <f>IF(F37="","-",IF(G37&gt;=F37,"입고완료",IF(G37&gt;0,"부분입고","미입고")))</f>
        <v/>
      </c>
      <c r="L37" s="6" t="n"/>
    </row>
    <row r="38">
      <c r="A38" s="5" t="n"/>
      <c r="B38" s="5" t="n"/>
      <c r="C38" s="17">
        <f>IF(D38="","",IFERROR(INDEX(품목_기준정보!$A$6:$A$25,MATCH(D38,품목_기준정보!$B$6:$B$25,0)),""))</f>
        <v/>
      </c>
      <c r="D38" s="6" t="n"/>
      <c r="E38" s="17">
        <f>IF(D38="","",IFERROR(INDEX(품목_기준정보!$D$6:$D$25,MATCH(D38,품목_기준정보!$B$6:$B$25,0)),""))</f>
        <v/>
      </c>
      <c r="F38" s="7" t="n"/>
      <c r="G38" s="7" t="n"/>
      <c r="H38" s="20">
        <f>IF(F38="","",MAX(F38-G38,0))</f>
        <v/>
      </c>
      <c r="I38" s="5" t="n"/>
      <c r="J38" s="6" t="n"/>
      <c r="K38" s="17">
        <f>IF(F38="","-",IF(G38&gt;=F38,"입고완료",IF(G38&gt;0,"부분입고","미입고")))</f>
        <v/>
      </c>
      <c r="L38" s="6" t="n"/>
    </row>
    <row r="39">
      <c r="A39" s="5" t="n"/>
      <c r="B39" s="5" t="n"/>
      <c r="C39" s="17">
        <f>IF(D39="","",IFERROR(INDEX(품목_기준정보!$A$6:$A$25,MATCH(D39,품목_기준정보!$B$6:$B$25,0)),""))</f>
        <v/>
      </c>
      <c r="D39" s="6" t="n"/>
      <c r="E39" s="17">
        <f>IF(D39="","",IFERROR(INDEX(품목_기준정보!$D$6:$D$25,MATCH(D39,품목_기준정보!$B$6:$B$25,0)),""))</f>
        <v/>
      </c>
      <c r="F39" s="7" t="n"/>
      <c r="G39" s="7" t="n"/>
      <c r="H39" s="20">
        <f>IF(F39="","",MAX(F39-G39,0))</f>
        <v/>
      </c>
      <c r="I39" s="5" t="n"/>
      <c r="J39" s="6" t="n"/>
      <c r="K39" s="17">
        <f>IF(F39="","-",IF(G39&gt;=F39,"입고완료",IF(G39&gt;0,"부분입고","미입고")))</f>
        <v/>
      </c>
      <c r="L39" s="6" t="n"/>
    </row>
    <row r="40">
      <c r="A40" s="5" t="n"/>
      <c r="B40" s="5" t="n"/>
      <c r="C40" s="17">
        <f>IF(D40="","",IFERROR(INDEX(품목_기준정보!$A$6:$A$25,MATCH(D40,품목_기준정보!$B$6:$B$25,0)),""))</f>
        <v/>
      </c>
      <c r="D40" s="6" t="n"/>
      <c r="E40" s="17">
        <f>IF(D40="","",IFERROR(INDEX(품목_기준정보!$D$6:$D$25,MATCH(D40,품목_기준정보!$B$6:$B$25,0)),""))</f>
        <v/>
      </c>
      <c r="F40" s="7" t="n"/>
      <c r="G40" s="7" t="n"/>
      <c r="H40" s="20">
        <f>IF(F40="","",MAX(F40-G40,0))</f>
        <v/>
      </c>
      <c r="I40" s="5" t="n"/>
      <c r="J40" s="6" t="n"/>
      <c r="K40" s="17">
        <f>IF(F40="","-",IF(G40&gt;=F40,"입고완료",IF(G40&gt;0,"부분입고","미입고")))</f>
        <v/>
      </c>
      <c r="L40" s="6" t="n"/>
    </row>
    <row r="41">
      <c r="A41" s="5" t="n"/>
      <c r="B41" s="5" t="n"/>
      <c r="C41" s="17">
        <f>IF(D41="","",IFERROR(INDEX(품목_기준정보!$A$6:$A$25,MATCH(D41,품목_기준정보!$B$6:$B$25,0)),""))</f>
        <v/>
      </c>
      <c r="D41" s="6" t="n"/>
      <c r="E41" s="17">
        <f>IF(D41="","",IFERROR(INDEX(품목_기준정보!$D$6:$D$25,MATCH(D41,품목_기준정보!$B$6:$B$25,0)),""))</f>
        <v/>
      </c>
      <c r="F41" s="7" t="n"/>
      <c r="G41" s="7" t="n"/>
      <c r="H41" s="20">
        <f>IF(F41="","",MAX(F41-G41,0))</f>
        <v/>
      </c>
      <c r="I41" s="5" t="n"/>
      <c r="J41" s="6" t="n"/>
      <c r="K41" s="17">
        <f>IF(F41="","-",IF(G41&gt;=F41,"입고완료",IF(G41&gt;0,"부분입고","미입고")))</f>
        <v/>
      </c>
      <c r="L41" s="6" t="n"/>
    </row>
    <row r="42">
      <c r="A42" s="5" t="n"/>
      <c r="B42" s="5" t="n"/>
      <c r="C42" s="17">
        <f>IF(D42="","",IFERROR(INDEX(품목_기준정보!$A$6:$A$25,MATCH(D42,품목_기준정보!$B$6:$B$25,0)),""))</f>
        <v/>
      </c>
      <c r="D42" s="6" t="n"/>
      <c r="E42" s="17">
        <f>IF(D42="","",IFERROR(INDEX(품목_기준정보!$D$6:$D$25,MATCH(D42,품목_기준정보!$B$6:$B$25,0)),""))</f>
        <v/>
      </c>
      <c r="F42" s="7" t="n"/>
      <c r="G42" s="7" t="n"/>
      <c r="H42" s="20">
        <f>IF(F42="","",MAX(F42-G42,0))</f>
        <v/>
      </c>
      <c r="I42" s="5" t="n"/>
      <c r="J42" s="6" t="n"/>
      <c r="K42" s="17">
        <f>IF(F42="","-",IF(G42&gt;=F42,"입고완료",IF(G42&gt;0,"부분입고","미입고")))</f>
        <v/>
      </c>
      <c r="L42" s="6" t="n"/>
    </row>
    <row r="43">
      <c r="A43" s="5" t="n"/>
      <c r="B43" s="5" t="n"/>
      <c r="C43" s="17">
        <f>IF(D43="","",IFERROR(INDEX(품목_기준정보!$A$6:$A$25,MATCH(D43,품목_기준정보!$B$6:$B$25,0)),""))</f>
        <v/>
      </c>
      <c r="D43" s="6" t="n"/>
      <c r="E43" s="17">
        <f>IF(D43="","",IFERROR(INDEX(품목_기준정보!$D$6:$D$25,MATCH(D43,품목_기준정보!$B$6:$B$25,0)),""))</f>
        <v/>
      </c>
      <c r="F43" s="7" t="n"/>
      <c r="G43" s="7" t="n"/>
      <c r="H43" s="20">
        <f>IF(F43="","",MAX(F43-G43,0))</f>
        <v/>
      </c>
      <c r="I43" s="5" t="n"/>
      <c r="J43" s="6" t="n"/>
      <c r="K43" s="17">
        <f>IF(F43="","-",IF(G43&gt;=F43,"입고완료",IF(G43&gt;0,"부분입고","미입고")))</f>
        <v/>
      </c>
      <c r="L43" s="6" t="n"/>
    </row>
    <row r="44">
      <c r="A44" s="5" t="n"/>
      <c r="B44" s="5" t="n"/>
      <c r="C44" s="17">
        <f>IF(D44="","",IFERROR(INDEX(품목_기준정보!$A$6:$A$25,MATCH(D44,품목_기준정보!$B$6:$B$25,0)),""))</f>
        <v/>
      </c>
      <c r="D44" s="6" t="n"/>
      <c r="E44" s="17">
        <f>IF(D44="","",IFERROR(INDEX(품목_기준정보!$D$6:$D$25,MATCH(D44,품목_기준정보!$B$6:$B$25,0)),""))</f>
        <v/>
      </c>
      <c r="F44" s="7" t="n"/>
      <c r="G44" s="7" t="n"/>
      <c r="H44" s="20">
        <f>IF(F44="","",MAX(F44-G44,0))</f>
        <v/>
      </c>
      <c r="I44" s="5" t="n"/>
      <c r="J44" s="6" t="n"/>
      <c r="K44" s="17">
        <f>IF(F44="","-",IF(G44&gt;=F44,"입고완료",IF(G44&gt;0,"부분입고","미입고")))</f>
        <v/>
      </c>
      <c r="L44" s="6" t="n"/>
    </row>
    <row r="45">
      <c r="A45" s="5" t="n"/>
      <c r="B45" s="5" t="n"/>
      <c r="C45" s="17">
        <f>IF(D45="","",IFERROR(INDEX(품목_기준정보!$A$6:$A$25,MATCH(D45,품목_기준정보!$B$6:$B$25,0)),""))</f>
        <v/>
      </c>
      <c r="D45" s="6" t="n"/>
      <c r="E45" s="17">
        <f>IF(D45="","",IFERROR(INDEX(품목_기준정보!$D$6:$D$25,MATCH(D45,품목_기준정보!$B$6:$B$25,0)),""))</f>
        <v/>
      </c>
      <c r="F45" s="7" t="n"/>
      <c r="G45" s="7" t="n"/>
      <c r="H45" s="20">
        <f>IF(F45="","",MAX(F45-G45,0))</f>
        <v/>
      </c>
      <c r="I45" s="5" t="n"/>
      <c r="J45" s="6" t="n"/>
      <c r="K45" s="17">
        <f>IF(F45="","-",IF(G45&gt;=F45,"입고완료",IF(G45&gt;0,"부분입고","미입고")))</f>
        <v/>
      </c>
      <c r="L45" s="6" t="n"/>
    </row>
    <row r="46">
      <c r="A46" s="5" t="n"/>
      <c r="B46" s="5" t="n"/>
      <c r="C46" s="17">
        <f>IF(D46="","",IFERROR(INDEX(품목_기준정보!$A$6:$A$25,MATCH(D46,품목_기준정보!$B$6:$B$25,0)),""))</f>
        <v/>
      </c>
      <c r="D46" s="6" t="n"/>
      <c r="E46" s="17">
        <f>IF(D46="","",IFERROR(INDEX(품목_기준정보!$D$6:$D$25,MATCH(D46,품목_기준정보!$B$6:$B$25,0)),""))</f>
        <v/>
      </c>
      <c r="F46" s="7" t="n"/>
      <c r="G46" s="7" t="n"/>
      <c r="H46" s="20">
        <f>IF(F46="","",MAX(F46-G46,0))</f>
        <v/>
      </c>
      <c r="I46" s="5" t="n"/>
      <c r="J46" s="6" t="n"/>
      <c r="K46" s="17">
        <f>IF(F46="","-",IF(G46&gt;=F46,"입고완료",IF(G46&gt;0,"부분입고","미입고")))</f>
        <v/>
      </c>
      <c r="L46" s="6" t="n"/>
    </row>
    <row r="47">
      <c r="A47" s="5" t="n"/>
      <c r="B47" s="5" t="n"/>
      <c r="C47" s="17">
        <f>IF(D47="","",IFERROR(INDEX(품목_기준정보!$A$6:$A$25,MATCH(D47,품목_기준정보!$B$6:$B$25,0)),""))</f>
        <v/>
      </c>
      <c r="D47" s="6" t="n"/>
      <c r="E47" s="17">
        <f>IF(D47="","",IFERROR(INDEX(품목_기준정보!$D$6:$D$25,MATCH(D47,품목_기준정보!$B$6:$B$25,0)),""))</f>
        <v/>
      </c>
      <c r="F47" s="7" t="n"/>
      <c r="G47" s="7" t="n"/>
      <c r="H47" s="20">
        <f>IF(F47="","",MAX(F47-G47,0))</f>
        <v/>
      </c>
      <c r="I47" s="5" t="n"/>
      <c r="J47" s="6" t="n"/>
      <c r="K47" s="17">
        <f>IF(F47="","-",IF(G47&gt;=F47,"입고완료",IF(G47&gt;0,"부분입고","미입고")))</f>
        <v/>
      </c>
      <c r="L47" s="6" t="n"/>
    </row>
    <row r="48">
      <c r="A48" s="5" t="n"/>
      <c r="B48" s="5" t="n"/>
      <c r="C48" s="17">
        <f>IF(D48="","",IFERROR(INDEX(품목_기준정보!$A$6:$A$25,MATCH(D48,품목_기준정보!$B$6:$B$25,0)),""))</f>
        <v/>
      </c>
      <c r="D48" s="6" t="n"/>
      <c r="E48" s="17">
        <f>IF(D48="","",IFERROR(INDEX(품목_기준정보!$D$6:$D$25,MATCH(D48,품목_기준정보!$B$6:$B$25,0)),""))</f>
        <v/>
      </c>
      <c r="F48" s="7" t="n"/>
      <c r="G48" s="7" t="n"/>
      <c r="H48" s="20">
        <f>IF(F48="","",MAX(F48-G48,0))</f>
        <v/>
      </c>
      <c r="I48" s="5" t="n"/>
      <c r="J48" s="6" t="n"/>
      <c r="K48" s="17">
        <f>IF(F48="","-",IF(G48&gt;=F48,"입고완료",IF(G48&gt;0,"부분입고","미입고")))</f>
        <v/>
      </c>
      <c r="L48" s="6" t="n"/>
    </row>
    <row r="49">
      <c r="A49" s="5" t="n"/>
      <c r="B49" s="5" t="n"/>
      <c r="C49" s="17">
        <f>IF(D49="","",IFERROR(INDEX(품목_기준정보!$A$6:$A$25,MATCH(D49,품목_기준정보!$B$6:$B$25,0)),""))</f>
        <v/>
      </c>
      <c r="D49" s="6" t="n"/>
      <c r="E49" s="17">
        <f>IF(D49="","",IFERROR(INDEX(품목_기준정보!$D$6:$D$25,MATCH(D49,품목_기준정보!$B$6:$B$25,0)),""))</f>
        <v/>
      </c>
      <c r="F49" s="7" t="n"/>
      <c r="G49" s="7" t="n"/>
      <c r="H49" s="20">
        <f>IF(F49="","",MAX(F49-G49,0))</f>
        <v/>
      </c>
      <c r="I49" s="5" t="n"/>
      <c r="J49" s="6" t="n"/>
      <c r="K49" s="17">
        <f>IF(F49="","-",IF(G49&gt;=F49,"입고완료",IF(G49&gt;0,"부분입고","미입고")))</f>
        <v/>
      </c>
      <c r="L49" s="6" t="n"/>
    </row>
    <row r="50">
      <c r="A50" s="5" t="n"/>
      <c r="B50" s="5" t="n"/>
      <c r="C50" s="17">
        <f>IF(D50="","",IFERROR(INDEX(품목_기준정보!$A$6:$A$25,MATCH(D50,품목_기준정보!$B$6:$B$25,0)),""))</f>
        <v/>
      </c>
      <c r="D50" s="6" t="n"/>
      <c r="E50" s="17">
        <f>IF(D50="","",IFERROR(INDEX(품목_기준정보!$D$6:$D$25,MATCH(D50,품목_기준정보!$B$6:$B$25,0)),""))</f>
        <v/>
      </c>
      <c r="F50" s="7" t="n"/>
      <c r="G50" s="7" t="n"/>
      <c r="H50" s="20">
        <f>IF(F50="","",MAX(F50-G50,0))</f>
        <v/>
      </c>
      <c r="I50" s="5" t="n"/>
      <c r="J50" s="6" t="n"/>
      <c r="K50" s="17">
        <f>IF(F50="","-",IF(G50&gt;=F50,"입고완료",IF(G50&gt;0,"부분입고","미입고")))</f>
        <v/>
      </c>
      <c r="L50" s="6" t="n"/>
    </row>
    <row r="51">
      <c r="A51" s="5" t="n"/>
      <c r="B51" s="5" t="n"/>
      <c r="C51" s="17">
        <f>IF(D51="","",IFERROR(INDEX(품목_기준정보!$A$6:$A$25,MATCH(D51,품목_기준정보!$B$6:$B$25,0)),""))</f>
        <v/>
      </c>
      <c r="D51" s="6" t="n"/>
      <c r="E51" s="17">
        <f>IF(D51="","",IFERROR(INDEX(품목_기준정보!$D$6:$D$25,MATCH(D51,품목_기준정보!$B$6:$B$25,0)),""))</f>
        <v/>
      </c>
      <c r="F51" s="7" t="n"/>
      <c r="G51" s="7" t="n"/>
      <c r="H51" s="20">
        <f>IF(F51="","",MAX(F51-G51,0))</f>
        <v/>
      </c>
      <c r="I51" s="5" t="n"/>
      <c r="J51" s="6" t="n"/>
      <c r="K51" s="17">
        <f>IF(F51="","-",IF(G51&gt;=F51,"입고완료",IF(G51&gt;0,"부분입고","미입고")))</f>
        <v/>
      </c>
      <c r="L51" s="6" t="n"/>
    </row>
    <row r="52">
      <c r="A52" s="5" t="n"/>
      <c r="B52" s="5" t="n"/>
      <c r="C52" s="17">
        <f>IF(D52="","",IFERROR(INDEX(품목_기준정보!$A$6:$A$25,MATCH(D52,품목_기준정보!$B$6:$B$25,0)),""))</f>
        <v/>
      </c>
      <c r="D52" s="6" t="n"/>
      <c r="E52" s="17">
        <f>IF(D52="","",IFERROR(INDEX(품목_기준정보!$D$6:$D$25,MATCH(D52,품목_기준정보!$B$6:$B$25,0)),""))</f>
        <v/>
      </c>
      <c r="F52" s="7" t="n"/>
      <c r="G52" s="7" t="n"/>
      <c r="H52" s="20">
        <f>IF(F52="","",MAX(F52-G52,0))</f>
        <v/>
      </c>
      <c r="I52" s="5" t="n"/>
      <c r="J52" s="6" t="n"/>
      <c r="K52" s="17">
        <f>IF(F52="","-",IF(G52&gt;=F52,"입고완료",IF(G52&gt;0,"부분입고","미입고")))</f>
        <v/>
      </c>
      <c r="L52" s="6" t="n"/>
    </row>
    <row r="53">
      <c r="A53" s="5" t="n"/>
      <c r="B53" s="5" t="n"/>
      <c r="C53" s="17">
        <f>IF(D53="","",IFERROR(INDEX(품목_기준정보!$A$6:$A$25,MATCH(D53,품목_기준정보!$B$6:$B$25,0)),""))</f>
        <v/>
      </c>
      <c r="D53" s="6" t="n"/>
      <c r="E53" s="17">
        <f>IF(D53="","",IFERROR(INDEX(품목_기준정보!$D$6:$D$25,MATCH(D53,품목_기준정보!$B$6:$B$25,0)),""))</f>
        <v/>
      </c>
      <c r="F53" s="7" t="n"/>
      <c r="G53" s="7" t="n"/>
      <c r="H53" s="20">
        <f>IF(F53="","",MAX(F53-G53,0))</f>
        <v/>
      </c>
      <c r="I53" s="5" t="n"/>
      <c r="J53" s="6" t="n"/>
      <c r="K53" s="17">
        <f>IF(F53="","-",IF(G53&gt;=F53,"입고완료",IF(G53&gt;0,"부분입고","미입고")))</f>
        <v/>
      </c>
      <c r="L53" s="6" t="n"/>
    </row>
    <row r="54">
      <c r="A54" s="5" t="n"/>
      <c r="B54" s="5" t="n"/>
      <c r="C54" s="17">
        <f>IF(D54="","",IFERROR(INDEX(품목_기준정보!$A$6:$A$25,MATCH(D54,품목_기준정보!$B$6:$B$25,0)),""))</f>
        <v/>
      </c>
      <c r="D54" s="6" t="n"/>
      <c r="E54" s="17">
        <f>IF(D54="","",IFERROR(INDEX(품목_기준정보!$D$6:$D$25,MATCH(D54,품목_기준정보!$B$6:$B$25,0)),""))</f>
        <v/>
      </c>
      <c r="F54" s="7" t="n"/>
      <c r="G54" s="7" t="n"/>
      <c r="H54" s="20">
        <f>IF(F54="","",MAX(F54-G54,0))</f>
        <v/>
      </c>
      <c r="I54" s="5" t="n"/>
      <c r="J54" s="6" t="n"/>
      <c r="K54" s="17">
        <f>IF(F54="","-",IF(G54&gt;=F54,"입고완료",IF(G54&gt;0,"부분입고","미입고")))</f>
        <v/>
      </c>
      <c r="L54" s="6" t="n"/>
    </row>
    <row r="55">
      <c r="A55" s="5" t="n"/>
      <c r="B55" s="5" t="n"/>
      <c r="C55" s="17">
        <f>IF(D55="","",IFERROR(INDEX(품목_기준정보!$A$6:$A$25,MATCH(D55,품목_기준정보!$B$6:$B$25,0)),""))</f>
        <v/>
      </c>
      <c r="D55" s="6" t="n"/>
      <c r="E55" s="17">
        <f>IF(D55="","",IFERROR(INDEX(품목_기준정보!$D$6:$D$25,MATCH(D55,품목_기준정보!$B$6:$B$25,0)),""))</f>
        <v/>
      </c>
      <c r="F55" s="7" t="n"/>
      <c r="G55" s="7" t="n"/>
      <c r="H55" s="20">
        <f>IF(F55="","",MAX(F55-G55,0))</f>
        <v/>
      </c>
      <c r="I55" s="5" t="n"/>
      <c r="J55" s="6" t="n"/>
      <c r="K55" s="17">
        <f>IF(F55="","-",IF(G55&gt;=F55,"입고완료",IF(G55&gt;0,"부분입고","미입고")))</f>
        <v/>
      </c>
      <c r="L55" s="6" t="n"/>
    </row>
    <row r="56">
      <c r="A56" s="5" t="n"/>
      <c r="B56" s="5" t="n"/>
      <c r="C56" s="17">
        <f>IF(D56="","",IFERROR(INDEX(품목_기준정보!$A$6:$A$25,MATCH(D56,품목_기준정보!$B$6:$B$25,0)),""))</f>
        <v/>
      </c>
      <c r="D56" s="6" t="n"/>
      <c r="E56" s="17">
        <f>IF(D56="","",IFERROR(INDEX(품목_기준정보!$D$6:$D$25,MATCH(D56,품목_기준정보!$B$6:$B$25,0)),""))</f>
        <v/>
      </c>
      <c r="F56" s="7" t="n"/>
      <c r="G56" s="7" t="n"/>
      <c r="H56" s="20">
        <f>IF(F56="","",MAX(F56-G56,0))</f>
        <v/>
      </c>
      <c r="I56" s="5" t="n"/>
      <c r="J56" s="6" t="n"/>
      <c r="K56" s="17">
        <f>IF(F56="","-",IF(G56&gt;=F56,"입고완료",IF(G56&gt;0,"부분입고","미입고")))</f>
        <v/>
      </c>
      <c r="L56" s="6" t="n"/>
    </row>
    <row r="57">
      <c r="A57" s="5" t="n"/>
      <c r="B57" s="5" t="n"/>
      <c r="C57" s="17">
        <f>IF(D57="","",IFERROR(INDEX(품목_기준정보!$A$6:$A$25,MATCH(D57,품목_기준정보!$B$6:$B$25,0)),""))</f>
        <v/>
      </c>
      <c r="D57" s="6" t="n"/>
      <c r="E57" s="17">
        <f>IF(D57="","",IFERROR(INDEX(품목_기준정보!$D$6:$D$25,MATCH(D57,품목_기준정보!$B$6:$B$25,0)),""))</f>
        <v/>
      </c>
      <c r="F57" s="7" t="n"/>
      <c r="G57" s="7" t="n"/>
      <c r="H57" s="20">
        <f>IF(F57="","",MAX(F57-G57,0))</f>
        <v/>
      </c>
      <c r="I57" s="5" t="n"/>
      <c r="J57" s="6" t="n"/>
      <c r="K57" s="17">
        <f>IF(F57="","-",IF(G57&gt;=F57,"입고완료",IF(G57&gt;0,"부분입고","미입고")))</f>
        <v/>
      </c>
      <c r="L57" s="6" t="n"/>
    </row>
    <row r="58">
      <c r="A58" s="5" t="n"/>
      <c r="B58" s="5" t="n"/>
      <c r="C58" s="17">
        <f>IF(D58="","",IFERROR(INDEX(품목_기준정보!$A$6:$A$25,MATCH(D58,품목_기준정보!$B$6:$B$25,0)),""))</f>
        <v/>
      </c>
      <c r="D58" s="6" t="n"/>
      <c r="E58" s="17">
        <f>IF(D58="","",IFERROR(INDEX(품목_기준정보!$D$6:$D$25,MATCH(D58,품목_기준정보!$B$6:$B$25,0)),""))</f>
        <v/>
      </c>
      <c r="F58" s="7" t="n"/>
      <c r="G58" s="7" t="n"/>
      <c r="H58" s="20">
        <f>IF(F58="","",MAX(F58-G58,0))</f>
        <v/>
      </c>
      <c r="I58" s="5" t="n"/>
      <c r="J58" s="6" t="n"/>
      <c r="K58" s="17">
        <f>IF(F58="","-",IF(G58&gt;=F58,"입고완료",IF(G58&gt;0,"부분입고","미입고")))</f>
        <v/>
      </c>
      <c r="L58" s="6" t="n"/>
    </row>
    <row r="59">
      <c r="A59" s="5" t="n"/>
      <c r="B59" s="5" t="n"/>
      <c r="C59" s="17">
        <f>IF(D59="","",IFERROR(INDEX(품목_기준정보!$A$6:$A$25,MATCH(D59,품목_기준정보!$B$6:$B$25,0)),""))</f>
        <v/>
      </c>
      <c r="D59" s="6" t="n"/>
      <c r="E59" s="17">
        <f>IF(D59="","",IFERROR(INDEX(품목_기준정보!$D$6:$D$25,MATCH(D59,품목_기준정보!$B$6:$B$25,0)),""))</f>
        <v/>
      </c>
      <c r="F59" s="7" t="n"/>
      <c r="G59" s="7" t="n"/>
      <c r="H59" s="20">
        <f>IF(F59="","",MAX(F59-G59,0))</f>
        <v/>
      </c>
      <c r="I59" s="5" t="n"/>
      <c r="J59" s="6" t="n"/>
      <c r="K59" s="17">
        <f>IF(F59="","-",IF(G59&gt;=F59,"입고완료",IF(G59&gt;0,"부분입고","미입고")))</f>
        <v/>
      </c>
      <c r="L59" s="6" t="n"/>
    </row>
    <row r="60">
      <c r="A60" s="5" t="n"/>
      <c r="B60" s="5" t="n"/>
      <c r="C60" s="17">
        <f>IF(D60="","",IFERROR(INDEX(품목_기준정보!$A$6:$A$25,MATCH(D60,품목_기준정보!$B$6:$B$25,0)),""))</f>
        <v/>
      </c>
      <c r="D60" s="6" t="n"/>
      <c r="E60" s="17">
        <f>IF(D60="","",IFERROR(INDEX(품목_기준정보!$D$6:$D$25,MATCH(D60,품목_기준정보!$B$6:$B$25,0)),""))</f>
        <v/>
      </c>
      <c r="F60" s="7" t="n"/>
      <c r="G60" s="7" t="n"/>
      <c r="H60" s="20">
        <f>IF(F60="","",MAX(F60-G60,0))</f>
        <v/>
      </c>
      <c r="I60" s="5" t="n"/>
      <c r="J60" s="6" t="n"/>
      <c r="K60" s="17">
        <f>IF(F60="","-",IF(G60&gt;=F60,"입고완료",IF(G60&gt;0,"부분입고","미입고")))</f>
        <v/>
      </c>
      <c r="L60" s="6" t="n"/>
    </row>
    <row r="61">
      <c r="A61" s="5" t="n"/>
      <c r="B61" s="5" t="n"/>
      <c r="C61" s="17">
        <f>IF(D61="","",IFERROR(INDEX(품목_기준정보!$A$6:$A$25,MATCH(D61,품목_기준정보!$B$6:$B$25,0)),""))</f>
        <v/>
      </c>
      <c r="D61" s="6" t="n"/>
      <c r="E61" s="17">
        <f>IF(D61="","",IFERROR(INDEX(품목_기준정보!$D$6:$D$25,MATCH(D61,품목_기준정보!$B$6:$B$25,0)),""))</f>
        <v/>
      </c>
      <c r="F61" s="7" t="n"/>
      <c r="G61" s="7" t="n"/>
      <c r="H61" s="20">
        <f>IF(F61="","",MAX(F61-G61,0))</f>
        <v/>
      </c>
      <c r="I61" s="5" t="n"/>
      <c r="J61" s="6" t="n"/>
      <c r="K61" s="17">
        <f>IF(F61="","-",IF(G61&gt;=F61,"입고완료",IF(G61&gt;0,"부분입고","미입고")))</f>
        <v/>
      </c>
      <c r="L61" s="6" t="n"/>
    </row>
    <row r="62">
      <c r="A62" s="5" t="n"/>
      <c r="B62" s="5" t="n"/>
      <c r="C62" s="17">
        <f>IF(D62="","",IFERROR(INDEX(품목_기준정보!$A$6:$A$25,MATCH(D62,품목_기준정보!$B$6:$B$25,0)),""))</f>
        <v/>
      </c>
      <c r="D62" s="6" t="n"/>
      <c r="E62" s="17">
        <f>IF(D62="","",IFERROR(INDEX(품목_기준정보!$D$6:$D$25,MATCH(D62,품목_기준정보!$B$6:$B$25,0)),""))</f>
        <v/>
      </c>
      <c r="F62" s="7" t="n"/>
      <c r="G62" s="7" t="n"/>
      <c r="H62" s="20">
        <f>IF(F62="","",MAX(F62-G62,0))</f>
        <v/>
      </c>
      <c r="I62" s="5" t="n"/>
      <c r="J62" s="6" t="n"/>
      <c r="K62" s="17">
        <f>IF(F62="","-",IF(G62&gt;=F62,"입고완료",IF(G62&gt;0,"부분입고","미입고")))</f>
        <v/>
      </c>
      <c r="L62" s="6" t="n"/>
    </row>
    <row r="63">
      <c r="A63" s="5" t="n"/>
      <c r="B63" s="5" t="n"/>
      <c r="C63" s="17">
        <f>IF(D63="","",IFERROR(INDEX(품목_기준정보!$A$6:$A$25,MATCH(D63,품목_기준정보!$B$6:$B$25,0)),""))</f>
        <v/>
      </c>
      <c r="D63" s="6" t="n"/>
      <c r="E63" s="17">
        <f>IF(D63="","",IFERROR(INDEX(품목_기준정보!$D$6:$D$25,MATCH(D63,품목_기준정보!$B$6:$B$25,0)),""))</f>
        <v/>
      </c>
      <c r="F63" s="7" t="n"/>
      <c r="G63" s="7" t="n"/>
      <c r="H63" s="20">
        <f>IF(F63="","",MAX(F63-G63,0))</f>
        <v/>
      </c>
      <c r="I63" s="5" t="n"/>
      <c r="J63" s="6" t="n"/>
      <c r="K63" s="17">
        <f>IF(F63="","-",IF(G63&gt;=F63,"입고완료",IF(G63&gt;0,"부분입고","미입고")))</f>
        <v/>
      </c>
      <c r="L63" s="6" t="n"/>
    </row>
    <row r="64">
      <c r="A64" s="5" t="n"/>
      <c r="B64" s="5" t="n"/>
      <c r="C64" s="17">
        <f>IF(D64="","",IFERROR(INDEX(품목_기준정보!$A$6:$A$25,MATCH(D64,품목_기준정보!$B$6:$B$25,0)),""))</f>
        <v/>
      </c>
      <c r="D64" s="6" t="n"/>
      <c r="E64" s="17">
        <f>IF(D64="","",IFERROR(INDEX(품목_기준정보!$D$6:$D$25,MATCH(D64,품목_기준정보!$B$6:$B$25,0)),""))</f>
        <v/>
      </c>
      <c r="F64" s="7" t="n"/>
      <c r="G64" s="7" t="n"/>
      <c r="H64" s="20">
        <f>IF(F64="","",MAX(F64-G64,0))</f>
        <v/>
      </c>
      <c r="I64" s="5" t="n"/>
      <c r="J64" s="6" t="n"/>
      <c r="K64" s="17">
        <f>IF(F64="","-",IF(G64&gt;=F64,"입고완료",IF(G64&gt;0,"부분입고","미입고")))</f>
        <v/>
      </c>
      <c r="L64" s="6" t="n"/>
    </row>
    <row r="65">
      <c r="A65" s="5" t="n"/>
      <c r="B65" s="5" t="n"/>
      <c r="C65" s="17">
        <f>IF(D65="","",IFERROR(INDEX(품목_기준정보!$A$6:$A$25,MATCH(D65,품목_기준정보!$B$6:$B$25,0)),""))</f>
        <v/>
      </c>
      <c r="D65" s="6" t="n"/>
      <c r="E65" s="17">
        <f>IF(D65="","",IFERROR(INDEX(품목_기준정보!$D$6:$D$25,MATCH(D65,품목_기준정보!$B$6:$B$25,0)),""))</f>
        <v/>
      </c>
      <c r="F65" s="7" t="n"/>
      <c r="G65" s="7" t="n"/>
      <c r="H65" s="20">
        <f>IF(F65="","",MAX(F65-G65,0))</f>
        <v/>
      </c>
      <c r="I65" s="5" t="n"/>
      <c r="J65" s="6" t="n"/>
      <c r="K65" s="17">
        <f>IF(F65="","-",IF(G65&gt;=F65,"입고완료",IF(G65&gt;0,"부분입고","미입고")))</f>
        <v/>
      </c>
      <c r="L65" s="6" t="n"/>
    </row>
    <row r="66">
      <c r="A66" s="5" t="n"/>
      <c r="B66" s="5" t="n"/>
      <c r="C66" s="17">
        <f>IF(D66="","",IFERROR(INDEX(품목_기준정보!$A$6:$A$25,MATCH(D66,품목_기준정보!$B$6:$B$25,0)),""))</f>
        <v/>
      </c>
      <c r="D66" s="6" t="n"/>
      <c r="E66" s="17">
        <f>IF(D66="","",IFERROR(INDEX(품목_기준정보!$D$6:$D$25,MATCH(D66,품목_기준정보!$B$6:$B$25,0)),""))</f>
        <v/>
      </c>
      <c r="F66" s="7" t="n"/>
      <c r="G66" s="7" t="n"/>
      <c r="H66" s="20">
        <f>IF(F66="","",MAX(F66-G66,0))</f>
        <v/>
      </c>
      <c r="I66" s="5" t="n"/>
      <c r="J66" s="6" t="n"/>
      <c r="K66" s="17">
        <f>IF(F66="","-",IF(G66&gt;=F66,"입고완료",IF(G66&gt;0,"부분입고","미입고")))</f>
        <v/>
      </c>
      <c r="L66" s="6" t="n"/>
    </row>
    <row r="67">
      <c r="A67" s="5" t="n"/>
      <c r="B67" s="5" t="n"/>
      <c r="C67" s="17">
        <f>IF(D67="","",IFERROR(INDEX(품목_기준정보!$A$6:$A$25,MATCH(D67,품목_기준정보!$B$6:$B$25,0)),""))</f>
        <v/>
      </c>
      <c r="D67" s="6" t="n"/>
      <c r="E67" s="17">
        <f>IF(D67="","",IFERROR(INDEX(품목_기준정보!$D$6:$D$25,MATCH(D67,품목_기준정보!$B$6:$B$25,0)),""))</f>
        <v/>
      </c>
      <c r="F67" s="7" t="n"/>
      <c r="G67" s="7" t="n"/>
      <c r="H67" s="20">
        <f>IF(F67="","",MAX(F67-G67,0))</f>
        <v/>
      </c>
      <c r="I67" s="5" t="n"/>
      <c r="J67" s="6" t="n"/>
      <c r="K67" s="17">
        <f>IF(F67="","-",IF(G67&gt;=F67,"입고완료",IF(G67&gt;0,"부분입고","미입고")))</f>
        <v/>
      </c>
      <c r="L67" s="6" t="n"/>
    </row>
    <row r="68">
      <c r="A68" s="5" t="n"/>
      <c r="B68" s="5" t="n"/>
      <c r="C68" s="17">
        <f>IF(D68="","",IFERROR(INDEX(품목_기준정보!$A$6:$A$25,MATCH(D68,품목_기준정보!$B$6:$B$25,0)),""))</f>
        <v/>
      </c>
      <c r="D68" s="6" t="n"/>
      <c r="E68" s="17">
        <f>IF(D68="","",IFERROR(INDEX(품목_기준정보!$D$6:$D$25,MATCH(D68,품목_기준정보!$B$6:$B$25,0)),""))</f>
        <v/>
      </c>
      <c r="F68" s="7" t="n"/>
      <c r="G68" s="7" t="n"/>
      <c r="H68" s="20">
        <f>IF(F68="","",MAX(F68-G68,0))</f>
        <v/>
      </c>
      <c r="I68" s="5" t="n"/>
      <c r="J68" s="6" t="n"/>
      <c r="K68" s="17">
        <f>IF(F68="","-",IF(G68&gt;=F68,"입고완료",IF(G68&gt;0,"부분입고","미입고")))</f>
        <v/>
      </c>
      <c r="L68" s="6" t="n"/>
    </row>
    <row r="69">
      <c r="A69" s="5" t="n"/>
      <c r="B69" s="5" t="n"/>
      <c r="C69" s="17">
        <f>IF(D69="","",IFERROR(INDEX(품목_기준정보!$A$6:$A$25,MATCH(D69,품목_기준정보!$B$6:$B$25,0)),""))</f>
        <v/>
      </c>
      <c r="D69" s="6" t="n"/>
      <c r="E69" s="17">
        <f>IF(D69="","",IFERROR(INDEX(품목_기준정보!$D$6:$D$25,MATCH(D69,품목_기준정보!$B$6:$B$25,0)),""))</f>
        <v/>
      </c>
      <c r="F69" s="7" t="n"/>
      <c r="G69" s="7" t="n"/>
      <c r="H69" s="20">
        <f>IF(F69="","",MAX(F69-G69,0))</f>
        <v/>
      </c>
      <c r="I69" s="5" t="n"/>
      <c r="J69" s="6" t="n"/>
      <c r="K69" s="17">
        <f>IF(F69="","-",IF(G69&gt;=F69,"입고완료",IF(G69&gt;0,"부분입고","미입고")))</f>
        <v/>
      </c>
      <c r="L69" s="6" t="n"/>
    </row>
    <row r="70">
      <c r="A70" s="5" t="n"/>
      <c r="B70" s="5" t="n"/>
      <c r="C70" s="17">
        <f>IF(D70="","",IFERROR(INDEX(품목_기준정보!$A$6:$A$25,MATCH(D70,품목_기준정보!$B$6:$B$25,0)),""))</f>
        <v/>
      </c>
      <c r="D70" s="6" t="n"/>
      <c r="E70" s="17">
        <f>IF(D70="","",IFERROR(INDEX(품목_기준정보!$D$6:$D$25,MATCH(D70,품목_기준정보!$B$6:$B$25,0)),""))</f>
        <v/>
      </c>
      <c r="F70" s="7" t="n"/>
      <c r="G70" s="7" t="n"/>
      <c r="H70" s="20">
        <f>IF(F70="","",MAX(F70-G70,0))</f>
        <v/>
      </c>
      <c r="I70" s="5" t="n"/>
      <c r="J70" s="6" t="n"/>
      <c r="K70" s="17">
        <f>IF(F70="","-",IF(G70&gt;=F70,"입고완료",IF(G70&gt;0,"부분입고","미입고")))</f>
        <v/>
      </c>
      <c r="L70" s="6" t="n"/>
    </row>
    <row r="71">
      <c r="A71" s="5" t="n"/>
      <c r="B71" s="5" t="n"/>
      <c r="C71" s="17">
        <f>IF(D71="","",IFERROR(INDEX(품목_기준정보!$A$6:$A$25,MATCH(D71,품목_기준정보!$B$6:$B$25,0)),""))</f>
        <v/>
      </c>
      <c r="D71" s="6" t="n"/>
      <c r="E71" s="17">
        <f>IF(D71="","",IFERROR(INDEX(품목_기준정보!$D$6:$D$25,MATCH(D71,품목_기준정보!$B$6:$B$25,0)),""))</f>
        <v/>
      </c>
      <c r="F71" s="7" t="n"/>
      <c r="G71" s="7" t="n"/>
      <c r="H71" s="20">
        <f>IF(F71="","",MAX(F71-G71,0))</f>
        <v/>
      </c>
      <c r="I71" s="5" t="n"/>
      <c r="J71" s="6" t="n"/>
      <c r="K71" s="17">
        <f>IF(F71="","-",IF(G71&gt;=F71,"입고완료",IF(G71&gt;0,"부분입고","미입고")))</f>
        <v/>
      </c>
      <c r="L71" s="6" t="n"/>
    </row>
    <row r="72">
      <c r="A72" s="5" t="n"/>
      <c r="B72" s="5" t="n"/>
      <c r="C72" s="17">
        <f>IF(D72="","",IFERROR(INDEX(품목_기준정보!$A$6:$A$25,MATCH(D72,품목_기준정보!$B$6:$B$25,0)),""))</f>
        <v/>
      </c>
      <c r="D72" s="6" t="n"/>
      <c r="E72" s="17">
        <f>IF(D72="","",IFERROR(INDEX(품목_기준정보!$D$6:$D$25,MATCH(D72,품목_기준정보!$B$6:$B$25,0)),""))</f>
        <v/>
      </c>
      <c r="F72" s="7" t="n"/>
      <c r="G72" s="7" t="n"/>
      <c r="H72" s="20">
        <f>IF(F72="","",MAX(F72-G72,0))</f>
        <v/>
      </c>
      <c r="I72" s="5" t="n"/>
      <c r="J72" s="6" t="n"/>
      <c r="K72" s="17">
        <f>IF(F72="","-",IF(G72&gt;=F72,"입고완료",IF(G72&gt;0,"부분입고","미입고")))</f>
        <v/>
      </c>
      <c r="L72" s="6" t="n"/>
    </row>
    <row r="73">
      <c r="A73" s="5" t="n"/>
      <c r="B73" s="5" t="n"/>
      <c r="C73" s="17">
        <f>IF(D73="","",IFERROR(INDEX(품목_기준정보!$A$6:$A$25,MATCH(D73,품목_기준정보!$B$6:$B$25,0)),""))</f>
        <v/>
      </c>
      <c r="D73" s="6" t="n"/>
      <c r="E73" s="17">
        <f>IF(D73="","",IFERROR(INDEX(품목_기준정보!$D$6:$D$25,MATCH(D73,품목_기준정보!$B$6:$B$25,0)),""))</f>
        <v/>
      </c>
      <c r="F73" s="7" t="n"/>
      <c r="G73" s="7" t="n"/>
      <c r="H73" s="20">
        <f>IF(F73="","",MAX(F73-G73,0))</f>
        <v/>
      </c>
      <c r="I73" s="5" t="n"/>
      <c r="J73" s="6" t="n"/>
      <c r="K73" s="17">
        <f>IF(F73="","-",IF(G73&gt;=F73,"입고완료",IF(G73&gt;0,"부분입고","미입고")))</f>
        <v/>
      </c>
      <c r="L73" s="6" t="n"/>
    </row>
    <row r="74">
      <c r="A74" s="5" t="n"/>
      <c r="B74" s="5" t="n"/>
      <c r="C74" s="17">
        <f>IF(D74="","",IFERROR(INDEX(품목_기준정보!$A$6:$A$25,MATCH(D74,품목_기준정보!$B$6:$B$25,0)),""))</f>
        <v/>
      </c>
      <c r="D74" s="6" t="n"/>
      <c r="E74" s="17">
        <f>IF(D74="","",IFERROR(INDEX(품목_기준정보!$D$6:$D$25,MATCH(D74,품목_기준정보!$B$6:$B$25,0)),""))</f>
        <v/>
      </c>
      <c r="F74" s="7" t="n"/>
      <c r="G74" s="7" t="n"/>
      <c r="H74" s="20">
        <f>IF(F74="","",MAX(F74-G74,0))</f>
        <v/>
      </c>
      <c r="I74" s="5" t="n"/>
      <c r="J74" s="6" t="n"/>
      <c r="K74" s="17">
        <f>IF(F74="","-",IF(G74&gt;=F74,"입고완료",IF(G74&gt;0,"부분입고","미입고")))</f>
        <v/>
      </c>
      <c r="L74" s="6" t="n"/>
    </row>
    <row r="75">
      <c r="A75" s="5" t="n"/>
      <c r="B75" s="5" t="n"/>
      <c r="C75" s="17">
        <f>IF(D75="","",IFERROR(INDEX(품목_기준정보!$A$6:$A$25,MATCH(D75,품목_기준정보!$B$6:$B$25,0)),""))</f>
        <v/>
      </c>
      <c r="D75" s="6" t="n"/>
      <c r="E75" s="17">
        <f>IF(D75="","",IFERROR(INDEX(품목_기준정보!$D$6:$D$25,MATCH(D75,품목_기준정보!$B$6:$B$25,0)),""))</f>
        <v/>
      </c>
      <c r="F75" s="7" t="n"/>
      <c r="G75" s="7" t="n"/>
      <c r="H75" s="20">
        <f>IF(F75="","",MAX(F75-G75,0))</f>
        <v/>
      </c>
      <c r="I75" s="5" t="n"/>
      <c r="J75" s="6" t="n"/>
      <c r="K75" s="17">
        <f>IF(F75="","-",IF(G75&gt;=F75,"입고완료",IF(G75&gt;0,"부분입고","미입고")))</f>
        <v/>
      </c>
      <c r="L75" s="6" t="n"/>
    </row>
    <row r="76">
      <c r="A76" s="5" t="n"/>
      <c r="B76" s="5" t="n"/>
      <c r="C76" s="17">
        <f>IF(D76="","",IFERROR(INDEX(품목_기준정보!$A$6:$A$25,MATCH(D76,품목_기준정보!$B$6:$B$25,0)),""))</f>
        <v/>
      </c>
      <c r="D76" s="6" t="n"/>
      <c r="E76" s="17">
        <f>IF(D76="","",IFERROR(INDEX(품목_기준정보!$D$6:$D$25,MATCH(D76,품목_기준정보!$B$6:$B$25,0)),""))</f>
        <v/>
      </c>
      <c r="F76" s="7" t="n"/>
      <c r="G76" s="7" t="n"/>
      <c r="H76" s="20">
        <f>IF(F76="","",MAX(F76-G76,0))</f>
        <v/>
      </c>
      <c r="I76" s="5" t="n"/>
      <c r="J76" s="6" t="n"/>
      <c r="K76" s="17">
        <f>IF(F76="","-",IF(G76&gt;=F76,"입고완료",IF(G76&gt;0,"부분입고","미입고")))</f>
        <v/>
      </c>
      <c r="L76" s="6" t="n"/>
    </row>
    <row r="77">
      <c r="A77" s="5" t="n"/>
      <c r="B77" s="5" t="n"/>
      <c r="C77" s="17">
        <f>IF(D77="","",IFERROR(INDEX(품목_기준정보!$A$6:$A$25,MATCH(D77,품목_기준정보!$B$6:$B$25,0)),""))</f>
        <v/>
      </c>
      <c r="D77" s="6" t="n"/>
      <c r="E77" s="17">
        <f>IF(D77="","",IFERROR(INDEX(품목_기준정보!$D$6:$D$25,MATCH(D77,품목_기준정보!$B$6:$B$25,0)),""))</f>
        <v/>
      </c>
      <c r="F77" s="7" t="n"/>
      <c r="G77" s="7" t="n"/>
      <c r="H77" s="20">
        <f>IF(F77="","",MAX(F77-G77,0))</f>
        <v/>
      </c>
      <c r="I77" s="5" t="n"/>
      <c r="J77" s="6" t="n"/>
      <c r="K77" s="17">
        <f>IF(F77="","-",IF(G77&gt;=F77,"입고완료",IF(G77&gt;0,"부분입고","미입고")))</f>
        <v/>
      </c>
      <c r="L77" s="6" t="n"/>
    </row>
    <row r="78">
      <c r="A78" s="5" t="n"/>
      <c r="B78" s="5" t="n"/>
      <c r="C78" s="17">
        <f>IF(D78="","",IFERROR(INDEX(품목_기준정보!$A$6:$A$25,MATCH(D78,품목_기준정보!$B$6:$B$25,0)),""))</f>
        <v/>
      </c>
      <c r="D78" s="6" t="n"/>
      <c r="E78" s="17">
        <f>IF(D78="","",IFERROR(INDEX(품목_기준정보!$D$6:$D$25,MATCH(D78,품목_기준정보!$B$6:$B$25,0)),""))</f>
        <v/>
      </c>
      <c r="F78" s="7" t="n"/>
      <c r="G78" s="7" t="n"/>
      <c r="H78" s="20">
        <f>IF(F78="","",MAX(F78-G78,0))</f>
        <v/>
      </c>
      <c r="I78" s="5" t="n"/>
      <c r="J78" s="6" t="n"/>
      <c r="K78" s="17">
        <f>IF(F78="","-",IF(G78&gt;=F78,"입고완료",IF(G78&gt;0,"부분입고","미입고")))</f>
        <v/>
      </c>
      <c r="L78" s="6" t="n"/>
    </row>
    <row r="79">
      <c r="A79" s="5" t="n"/>
      <c r="B79" s="5" t="n"/>
      <c r="C79" s="17">
        <f>IF(D79="","",IFERROR(INDEX(품목_기준정보!$A$6:$A$25,MATCH(D79,품목_기준정보!$B$6:$B$25,0)),""))</f>
        <v/>
      </c>
      <c r="D79" s="6" t="n"/>
      <c r="E79" s="17">
        <f>IF(D79="","",IFERROR(INDEX(품목_기준정보!$D$6:$D$25,MATCH(D79,품목_기준정보!$B$6:$B$25,0)),""))</f>
        <v/>
      </c>
      <c r="F79" s="7" t="n"/>
      <c r="G79" s="7" t="n"/>
      <c r="H79" s="20">
        <f>IF(F79="","",MAX(F79-G79,0))</f>
        <v/>
      </c>
      <c r="I79" s="5" t="n"/>
      <c r="J79" s="6" t="n"/>
      <c r="K79" s="17">
        <f>IF(F79="","-",IF(G79&gt;=F79,"입고완료",IF(G79&gt;0,"부분입고","미입고")))</f>
        <v/>
      </c>
      <c r="L79" s="6" t="n"/>
    </row>
    <row r="80">
      <c r="A80" s="5" t="n"/>
      <c r="B80" s="5" t="n"/>
      <c r="C80" s="17">
        <f>IF(D80="","",IFERROR(INDEX(품목_기준정보!$A$6:$A$25,MATCH(D80,품목_기준정보!$B$6:$B$25,0)),""))</f>
        <v/>
      </c>
      <c r="D80" s="6" t="n"/>
      <c r="E80" s="17">
        <f>IF(D80="","",IFERROR(INDEX(품목_기준정보!$D$6:$D$25,MATCH(D80,품목_기준정보!$B$6:$B$25,0)),""))</f>
        <v/>
      </c>
      <c r="F80" s="7" t="n"/>
      <c r="G80" s="7" t="n"/>
      <c r="H80" s="20">
        <f>IF(F80="","",MAX(F80-G80,0))</f>
        <v/>
      </c>
      <c r="I80" s="5" t="n"/>
      <c r="J80" s="6" t="n"/>
      <c r="K80" s="17">
        <f>IF(F80="","-",IF(G80&gt;=F80,"입고완료",IF(G80&gt;0,"부분입고","미입고")))</f>
        <v/>
      </c>
      <c r="L80" s="6" t="n"/>
    </row>
    <row r="81">
      <c r="A81" s="5" t="n"/>
      <c r="B81" s="5" t="n"/>
      <c r="C81" s="17">
        <f>IF(D81="","",IFERROR(INDEX(품목_기준정보!$A$6:$A$25,MATCH(D81,품목_기준정보!$B$6:$B$25,0)),""))</f>
        <v/>
      </c>
      <c r="D81" s="6" t="n"/>
      <c r="E81" s="17">
        <f>IF(D81="","",IFERROR(INDEX(품목_기준정보!$D$6:$D$25,MATCH(D81,품목_기준정보!$B$6:$B$25,0)),""))</f>
        <v/>
      </c>
      <c r="F81" s="7" t="n"/>
      <c r="G81" s="7" t="n"/>
      <c r="H81" s="20">
        <f>IF(F81="","",MAX(F81-G81,0))</f>
        <v/>
      </c>
      <c r="I81" s="5" t="n"/>
      <c r="J81" s="6" t="n"/>
      <c r="K81" s="17">
        <f>IF(F81="","-",IF(G81&gt;=F81,"입고완료",IF(G81&gt;0,"부분입고","미입고")))</f>
        <v/>
      </c>
      <c r="L81" s="6" t="n"/>
    </row>
    <row r="82">
      <c r="A82" s="5" t="n"/>
      <c r="B82" s="5" t="n"/>
      <c r="C82" s="17">
        <f>IF(D82="","",IFERROR(INDEX(품목_기준정보!$A$6:$A$25,MATCH(D82,품목_기준정보!$B$6:$B$25,0)),""))</f>
        <v/>
      </c>
      <c r="D82" s="6" t="n"/>
      <c r="E82" s="17">
        <f>IF(D82="","",IFERROR(INDEX(품목_기준정보!$D$6:$D$25,MATCH(D82,품목_기준정보!$B$6:$B$25,0)),""))</f>
        <v/>
      </c>
      <c r="F82" s="7" t="n"/>
      <c r="G82" s="7" t="n"/>
      <c r="H82" s="20">
        <f>IF(F82="","",MAX(F82-G82,0))</f>
        <v/>
      </c>
      <c r="I82" s="5" t="n"/>
      <c r="J82" s="6" t="n"/>
      <c r="K82" s="17">
        <f>IF(F82="","-",IF(G82&gt;=F82,"입고완료",IF(G82&gt;0,"부분입고","미입고")))</f>
        <v/>
      </c>
      <c r="L82" s="6" t="n"/>
    </row>
    <row r="83">
      <c r="A83" s="5" t="n"/>
      <c r="B83" s="5" t="n"/>
      <c r="C83" s="17">
        <f>IF(D83="","",IFERROR(INDEX(품목_기준정보!$A$6:$A$25,MATCH(D83,품목_기준정보!$B$6:$B$25,0)),""))</f>
        <v/>
      </c>
      <c r="D83" s="6" t="n"/>
      <c r="E83" s="17">
        <f>IF(D83="","",IFERROR(INDEX(품목_기준정보!$D$6:$D$25,MATCH(D83,품목_기준정보!$B$6:$B$25,0)),""))</f>
        <v/>
      </c>
      <c r="F83" s="7" t="n"/>
      <c r="G83" s="7" t="n"/>
      <c r="H83" s="20">
        <f>IF(F83="","",MAX(F83-G83,0))</f>
        <v/>
      </c>
      <c r="I83" s="5" t="n"/>
      <c r="J83" s="6" t="n"/>
      <c r="K83" s="17">
        <f>IF(F83="","-",IF(G83&gt;=F83,"입고완료",IF(G83&gt;0,"부분입고","미입고")))</f>
        <v/>
      </c>
      <c r="L83" s="6" t="n"/>
    </row>
    <row r="84">
      <c r="A84" s="5" t="n"/>
      <c r="B84" s="5" t="n"/>
      <c r="C84" s="17">
        <f>IF(D84="","",IFERROR(INDEX(품목_기준정보!$A$6:$A$25,MATCH(D84,품목_기준정보!$B$6:$B$25,0)),""))</f>
        <v/>
      </c>
      <c r="D84" s="6" t="n"/>
      <c r="E84" s="17">
        <f>IF(D84="","",IFERROR(INDEX(품목_기준정보!$D$6:$D$25,MATCH(D84,품목_기준정보!$B$6:$B$25,0)),""))</f>
        <v/>
      </c>
      <c r="F84" s="7" t="n"/>
      <c r="G84" s="7" t="n"/>
      <c r="H84" s="20">
        <f>IF(F84="","",MAX(F84-G84,0))</f>
        <v/>
      </c>
      <c r="I84" s="5" t="n"/>
      <c r="J84" s="6" t="n"/>
      <c r="K84" s="17">
        <f>IF(F84="","-",IF(G84&gt;=F84,"입고완료",IF(G84&gt;0,"부분입고","미입고")))</f>
        <v/>
      </c>
      <c r="L84" s="6" t="n"/>
    </row>
    <row r="85">
      <c r="A85" s="5" t="n"/>
      <c r="B85" s="5" t="n"/>
      <c r="C85" s="17">
        <f>IF(D85="","",IFERROR(INDEX(품목_기준정보!$A$6:$A$25,MATCH(D85,품목_기준정보!$B$6:$B$25,0)),""))</f>
        <v/>
      </c>
      <c r="D85" s="6" t="n"/>
      <c r="E85" s="17">
        <f>IF(D85="","",IFERROR(INDEX(품목_기준정보!$D$6:$D$25,MATCH(D85,품목_기준정보!$B$6:$B$25,0)),""))</f>
        <v/>
      </c>
      <c r="F85" s="7" t="n"/>
      <c r="G85" s="7" t="n"/>
      <c r="H85" s="20">
        <f>IF(F85="","",MAX(F85-G85,0))</f>
        <v/>
      </c>
      <c r="I85" s="5" t="n"/>
      <c r="J85" s="6" t="n"/>
      <c r="K85" s="17">
        <f>IF(F85="","-",IF(G85&gt;=F85,"입고완료",IF(G85&gt;0,"부분입고","미입고")))</f>
        <v/>
      </c>
      <c r="L85" s="6" t="n"/>
    </row>
    <row r="86">
      <c r="A86" s="5" t="n"/>
      <c r="B86" s="5" t="n"/>
      <c r="C86" s="17">
        <f>IF(D86="","",IFERROR(INDEX(품목_기준정보!$A$6:$A$25,MATCH(D86,품목_기준정보!$B$6:$B$25,0)),""))</f>
        <v/>
      </c>
      <c r="D86" s="6" t="n"/>
      <c r="E86" s="17">
        <f>IF(D86="","",IFERROR(INDEX(품목_기준정보!$D$6:$D$25,MATCH(D86,품목_기준정보!$B$6:$B$25,0)),""))</f>
        <v/>
      </c>
      <c r="F86" s="7" t="n"/>
      <c r="G86" s="7" t="n"/>
      <c r="H86" s="20">
        <f>IF(F86="","",MAX(F86-G86,0))</f>
        <v/>
      </c>
      <c r="I86" s="5" t="n"/>
      <c r="J86" s="6" t="n"/>
      <c r="K86" s="17">
        <f>IF(F86="","-",IF(G86&gt;=F86,"입고완료",IF(G86&gt;0,"부분입고","미입고")))</f>
        <v/>
      </c>
      <c r="L86" s="6" t="n"/>
    </row>
    <row r="87">
      <c r="A87" s="5" t="n"/>
      <c r="B87" s="5" t="n"/>
      <c r="C87" s="17">
        <f>IF(D87="","",IFERROR(INDEX(품목_기준정보!$A$6:$A$25,MATCH(D87,품목_기준정보!$B$6:$B$25,0)),""))</f>
        <v/>
      </c>
      <c r="D87" s="6" t="n"/>
      <c r="E87" s="17">
        <f>IF(D87="","",IFERROR(INDEX(품목_기준정보!$D$6:$D$25,MATCH(D87,품목_기준정보!$B$6:$B$25,0)),""))</f>
        <v/>
      </c>
      <c r="F87" s="7" t="n"/>
      <c r="G87" s="7" t="n"/>
      <c r="H87" s="20">
        <f>IF(F87="","",MAX(F87-G87,0))</f>
        <v/>
      </c>
      <c r="I87" s="5" t="n"/>
      <c r="J87" s="6" t="n"/>
      <c r="K87" s="17">
        <f>IF(F87="","-",IF(G87&gt;=F87,"입고완료",IF(G87&gt;0,"부분입고","미입고")))</f>
        <v/>
      </c>
      <c r="L87" s="6" t="n"/>
    </row>
    <row r="88">
      <c r="A88" s="5" t="n"/>
      <c r="B88" s="5" t="n"/>
      <c r="C88" s="17">
        <f>IF(D88="","",IFERROR(INDEX(품목_기준정보!$A$6:$A$25,MATCH(D88,품목_기준정보!$B$6:$B$25,0)),""))</f>
        <v/>
      </c>
      <c r="D88" s="6" t="n"/>
      <c r="E88" s="17">
        <f>IF(D88="","",IFERROR(INDEX(품목_기준정보!$D$6:$D$25,MATCH(D88,품목_기준정보!$B$6:$B$25,0)),""))</f>
        <v/>
      </c>
      <c r="F88" s="7" t="n"/>
      <c r="G88" s="7" t="n"/>
      <c r="H88" s="20">
        <f>IF(F88="","",MAX(F88-G88,0))</f>
        <v/>
      </c>
      <c r="I88" s="5" t="n"/>
      <c r="J88" s="6" t="n"/>
      <c r="K88" s="17">
        <f>IF(F88="","-",IF(G88&gt;=F88,"입고완료",IF(G88&gt;0,"부분입고","미입고")))</f>
        <v/>
      </c>
      <c r="L88" s="6" t="n"/>
    </row>
    <row r="89">
      <c r="A89" s="5" t="n"/>
      <c r="B89" s="5" t="n"/>
      <c r="C89" s="17">
        <f>IF(D89="","",IFERROR(INDEX(품목_기준정보!$A$6:$A$25,MATCH(D89,품목_기준정보!$B$6:$B$25,0)),""))</f>
        <v/>
      </c>
      <c r="D89" s="6" t="n"/>
      <c r="E89" s="17">
        <f>IF(D89="","",IFERROR(INDEX(품목_기준정보!$D$6:$D$25,MATCH(D89,품목_기준정보!$B$6:$B$25,0)),""))</f>
        <v/>
      </c>
      <c r="F89" s="7" t="n"/>
      <c r="G89" s="7" t="n"/>
      <c r="H89" s="20">
        <f>IF(F89="","",MAX(F89-G89,0))</f>
        <v/>
      </c>
      <c r="I89" s="5" t="n"/>
      <c r="J89" s="6" t="n"/>
      <c r="K89" s="17">
        <f>IF(F89="","-",IF(G89&gt;=F89,"입고완료",IF(G89&gt;0,"부분입고","미입고")))</f>
        <v/>
      </c>
      <c r="L89" s="6" t="n"/>
    </row>
    <row r="90">
      <c r="A90" s="5" t="n"/>
      <c r="B90" s="5" t="n"/>
      <c r="C90" s="17">
        <f>IF(D90="","",IFERROR(INDEX(품목_기준정보!$A$6:$A$25,MATCH(D90,품목_기준정보!$B$6:$B$25,0)),""))</f>
        <v/>
      </c>
      <c r="D90" s="6" t="n"/>
      <c r="E90" s="17">
        <f>IF(D90="","",IFERROR(INDEX(품목_기준정보!$D$6:$D$25,MATCH(D90,품목_기준정보!$B$6:$B$25,0)),""))</f>
        <v/>
      </c>
      <c r="F90" s="7" t="n"/>
      <c r="G90" s="7" t="n"/>
      <c r="H90" s="20">
        <f>IF(F90="","",MAX(F90-G90,0))</f>
        <v/>
      </c>
      <c r="I90" s="5" t="n"/>
      <c r="J90" s="6" t="n"/>
      <c r="K90" s="17">
        <f>IF(F90="","-",IF(G90&gt;=F90,"입고완료",IF(G90&gt;0,"부분입고","미입고")))</f>
        <v/>
      </c>
      <c r="L90" s="6" t="n"/>
    </row>
    <row r="91">
      <c r="A91" s="5" t="n"/>
      <c r="B91" s="5" t="n"/>
      <c r="C91" s="17">
        <f>IF(D91="","",IFERROR(INDEX(품목_기준정보!$A$6:$A$25,MATCH(D91,품목_기준정보!$B$6:$B$25,0)),""))</f>
        <v/>
      </c>
      <c r="D91" s="6" t="n"/>
      <c r="E91" s="17">
        <f>IF(D91="","",IFERROR(INDEX(품목_기준정보!$D$6:$D$25,MATCH(D91,품목_기준정보!$B$6:$B$25,0)),""))</f>
        <v/>
      </c>
      <c r="F91" s="7" t="n"/>
      <c r="G91" s="7" t="n"/>
      <c r="H91" s="20">
        <f>IF(F91="","",MAX(F91-G91,0))</f>
        <v/>
      </c>
      <c r="I91" s="5" t="n"/>
      <c r="J91" s="6" t="n"/>
      <c r="K91" s="17">
        <f>IF(F91="","-",IF(G91&gt;=F91,"입고완료",IF(G91&gt;0,"부분입고","미입고")))</f>
        <v/>
      </c>
      <c r="L91" s="6" t="n"/>
    </row>
    <row r="92">
      <c r="A92" s="5" t="n"/>
      <c r="B92" s="5" t="n"/>
      <c r="C92" s="17">
        <f>IF(D92="","",IFERROR(INDEX(품목_기준정보!$A$6:$A$25,MATCH(D92,품목_기준정보!$B$6:$B$25,0)),""))</f>
        <v/>
      </c>
      <c r="D92" s="6" t="n"/>
      <c r="E92" s="17">
        <f>IF(D92="","",IFERROR(INDEX(품목_기준정보!$D$6:$D$25,MATCH(D92,품목_기준정보!$B$6:$B$25,0)),""))</f>
        <v/>
      </c>
      <c r="F92" s="7" t="n"/>
      <c r="G92" s="7" t="n"/>
      <c r="H92" s="20">
        <f>IF(F92="","",MAX(F92-G92,0))</f>
        <v/>
      </c>
      <c r="I92" s="5" t="n"/>
      <c r="J92" s="6" t="n"/>
      <c r="K92" s="17">
        <f>IF(F92="","-",IF(G92&gt;=F92,"입고완료",IF(G92&gt;0,"부분입고","미입고")))</f>
        <v/>
      </c>
      <c r="L92" s="6" t="n"/>
    </row>
    <row r="93">
      <c r="A93" s="5" t="n"/>
      <c r="B93" s="5" t="n"/>
      <c r="C93" s="17">
        <f>IF(D93="","",IFERROR(INDEX(품목_기준정보!$A$6:$A$25,MATCH(D93,품목_기준정보!$B$6:$B$25,0)),""))</f>
        <v/>
      </c>
      <c r="D93" s="6" t="n"/>
      <c r="E93" s="17">
        <f>IF(D93="","",IFERROR(INDEX(품목_기준정보!$D$6:$D$25,MATCH(D93,품목_기준정보!$B$6:$B$25,0)),""))</f>
        <v/>
      </c>
      <c r="F93" s="7" t="n"/>
      <c r="G93" s="7" t="n"/>
      <c r="H93" s="20">
        <f>IF(F93="","",MAX(F93-G93,0))</f>
        <v/>
      </c>
      <c r="I93" s="5" t="n"/>
      <c r="J93" s="6" t="n"/>
      <c r="K93" s="17">
        <f>IF(F93="","-",IF(G93&gt;=F93,"입고완료",IF(G93&gt;0,"부분입고","미입고")))</f>
        <v/>
      </c>
      <c r="L93" s="6" t="n"/>
    </row>
    <row r="94">
      <c r="A94" s="5" t="n"/>
      <c r="B94" s="5" t="n"/>
      <c r="C94" s="17">
        <f>IF(D94="","",IFERROR(INDEX(품목_기준정보!$A$6:$A$25,MATCH(D94,품목_기준정보!$B$6:$B$25,0)),""))</f>
        <v/>
      </c>
      <c r="D94" s="6" t="n"/>
      <c r="E94" s="17">
        <f>IF(D94="","",IFERROR(INDEX(품목_기준정보!$D$6:$D$25,MATCH(D94,품목_기준정보!$B$6:$B$25,0)),""))</f>
        <v/>
      </c>
      <c r="F94" s="7" t="n"/>
      <c r="G94" s="7" t="n"/>
      <c r="H94" s="20">
        <f>IF(F94="","",MAX(F94-G94,0))</f>
        <v/>
      </c>
      <c r="I94" s="5" t="n"/>
      <c r="J94" s="6" t="n"/>
      <c r="K94" s="17">
        <f>IF(F94="","-",IF(G94&gt;=F94,"입고완료",IF(G94&gt;0,"부분입고","미입고")))</f>
        <v/>
      </c>
      <c r="L94" s="6" t="n"/>
    </row>
    <row r="95">
      <c r="A95" s="5" t="n"/>
      <c r="B95" s="5" t="n"/>
      <c r="C95" s="17">
        <f>IF(D95="","",IFERROR(INDEX(품목_기준정보!$A$6:$A$25,MATCH(D95,품목_기준정보!$B$6:$B$25,0)),""))</f>
        <v/>
      </c>
      <c r="D95" s="6" t="n"/>
      <c r="E95" s="17">
        <f>IF(D95="","",IFERROR(INDEX(품목_기준정보!$D$6:$D$25,MATCH(D95,품목_기준정보!$B$6:$B$25,0)),""))</f>
        <v/>
      </c>
      <c r="F95" s="7" t="n"/>
      <c r="G95" s="7" t="n"/>
      <c r="H95" s="20">
        <f>IF(F95="","",MAX(F95-G95,0))</f>
        <v/>
      </c>
      <c r="I95" s="5" t="n"/>
      <c r="J95" s="6" t="n"/>
      <c r="K95" s="17">
        <f>IF(F95="","-",IF(G95&gt;=F95,"입고완료",IF(G95&gt;0,"부분입고","미입고")))</f>
        <v/>
      </c>
      <c r="L95" s="6" t="n"/>
    </row>
    <row r="96">
      <c r="A96" s="5" t="n"/>
      <c r="B96" s="5" t="n"/>
      <c r="C96" s="17">
        <f>IF(D96="","",IFERROR(INDEX(품목_기준정보!$A$6:$A$25,MATCH(D96,품목_기준정보!$B$6:$B$25,0)),""))</f>
        <v/>
      </c>
      <c r="D96" s="6" t="n"/>
      <c r="E96" s="17">
        <f>IF(D96="","",IFERROR(INDEX(품목_기준정보!$D$6:$D$25,MATCH(D96,품목_기준정보!$B$6:$B$25,0)),""))</f>
        <v/>
      </c>
      <c r="F96" s="7" t="n"/>
      <c r="G96" s="7" t="n"/>
      <c r="H96" s="20">
        <f>IF(F96="","",MAX(F96-G96,0))</f>
        <v/>
      </c>
      <c r="I96" s="5" t="n"/>
      <c r="J96" s="6" t="n"/>
      <c r="K96" s="17">
        <f>IF(F96="","-",IF(G96&gt;=F96,"입고완료",IF(G96&gt;0,"부분입고","미입고")))</f>
        <v/>
      </c>
      <c r="L96" s="6" t="n"/>
    </row>
    <row r="97">
      <c r="A97" s="5" t="n"/>
      <c r="B97" s="5" t="n"/>
      <c r="C97" s="17">
        <f>IF(D97="","",IFERROR(INDEX(품목_기준정보!$A$6:$A$25,MATCH(D97,품목_기준정보!$B$6:$B$25,0)),""))</f>
        <v/>
      </c>
      <c r="D97" s="6" t="n"/>
      <c r="E97" s="17">
        <f>IF(D97="","",IFERROR(INDEX(품목_기준정보!$D$6:$D$25,MATCH(D97,품목_기준정보!$B$6:$B$25,0)),""))</f>
        <v/>
      </c>
      <c r="F97" s="7" t="n"/>
      <c r="G97" s="7" t="n"/>
      <c r="H97" s="20">
        <f>IF(F97="","",MAX(F97-G97,0))</f>
        <v/>
      </c>
      <c r="I97" s="5" t="n"/>
      <c r="J97" s="6" t="n"/>
      <c r="K97" s="17">
        <f>IF(F97="","-",IF(G97&gt;=F97,"입고완료",IF(G97&gt;0,"부분입고","미입고")))</f>
        <v/>
      </c>
      <c r="L97" s="6" t="n"/>
    </row>
    <row r="98">
      <c r="A98" s="5" t="n"/>
      <c r="B98" s="5" t="n"/>
      <c r="C98" s="17">
        <f>IF(D98="","",IFERROR(INDEX(품목_기준정보!$A$6:$A$25,MATCH(D98,품목_기준정보!$B$6:$B$25,0)),""))</f>
        <v/>
      </c>
      <c r="D98" s="6" t="n"/>
      <c r="E98" s="17">
        <f>IF(D98="","",IFERROR(INDEX(품목_기준정보!$D$6:$D$25,MATCH(D98,품목_기준정보!$B$6:$B$25,0)),""))</f>
        <v/>
      </c>
      <c r="F98" s="7" t="n"/>
      <c r="G98" s="7" t="n"/>
      <c r="H98" s="20">
        <f>IF(F98="","",MAX(F98-G98,0))</f>
        <v/>
      </c>
      <c r="I98" s="5" t="n"/>
      <c r="J98" s="6" t="n"/>
      <c r="K98" s="17">
        <f>IF(F98="","-",IF(G98&gt;=F98,"입고완료",IF(G98&gt;0,"부분입고","미입고")))</f>
        <v/>
      </c>
      <c r="L98" s="6" t="n"/>
    </row>
    <row r="99">
      <c r="A99" s="5" t="n"/>
      <c r="B99" s="5" t="n"/>
      <c r="C99" s="17">
        <f>IF(D99="","",IFERROR(INDEX(품목_기준정보!$A$6:$A$25,MATCH(D99,품목_기준정보!$B$6:$B$25,0)),""))</f>
        <v/>
      </c>
      <c r="D99" s="6" t="n"/>
      <c r="E99" s="17">
        <f>IF(D99="","",IFERROR(INDEX(품목_기준정보!$D$6:$D$25,MATCH(D99,품목_기준정보!$B$6:$B$25,0)),""))</f>
        <v/>
      </c>
      <c r="F99" s="7" t="n"/>
      <c r="G99" s="7" t="n"/>
      <c r="H99" s="20">
        <f>IF(F99="","",MAX(F99-G99,0))</f>
        <v/>
      </c>
      <c r="I99" s="5" t="n"/>
      <c r="J99" s="6" t="n"/>
      <c r="K99" s="17">
        <f>IF(F99="","-",IF(G99&gt;=F99,"입고완료",IF(G99&gt;0,"부분입고","미입고")))</f>
        <v/>
      </c>
      <c r="L99" s="6" t="n"/>
    </row>
    <row r="100">
      <c r="A100" s="5" t="n"/>
      <c r="B100" s="5" t="n"/>
      <c r="C100" s="17">
        <f>IF(D100="","",IFERROR(INDEX(품목_기준정보!$A$6:$A$25,MATCH(D100,품목_기준정보!$B$6:$B$25,0)),""))</f>
        <v/>
      </c>
      <c r="D100" s="6" t="n"/>
      <c r="E100" s="17">
        <f>IF(D100="","",IFERROR(INDEX(품목_기준정보!$D$6:$D$25,MATCH(D100,품목_기준정보!$B$6:$B$25,0)),""))</f>
        <v/>
      </c>
      <c r="F100" s="7" t="n"/>
      <c r="G100" s="7" t="n"/>
      <c r="H100" s="20">
        <f>IF(F100="","",MAX(F100-G100,0))</f>
        <v/>
      </c>
      <c r="I100" s="5" t="n"/>
      <c r="J100" s="6" t="n"/>
      <c r="K100" s="17">
        <f>IF(F100="","-",IF(G100&gt;=F100,"입고완료",IF(G100&gt;0,"부분입고","미입고")))</f>
        <v/>
      </c>
      <c r="L100" s="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ColWidth="9" defaultRowHeight="16.5"/>
  <cols>
    <col width="9" customWidth="1" min="1" max="1"/>
    <col width="16" customWidth="1" min="2" max="3"/>
    <col width="48" customWidth="1" min="4" max="4"/>
    <col width="32" customWidth="1" min="5" max="5"/>
  </cols>
  <sheetData>
    <row r="1" ht="24" customHeight="1">
      <c r="A1" s="2" t="inlineStr">
        <is>
          <t>📘 원부자재 재고·생산·BOM·발주 관리 MRP 시스템 사용 설명서 (SOP &amp; Manual)</t>
        </is>
      </c>
    </row>
    <row r="2">
      <c r="A2" s="3" t="inlineStr">
        <is>
          <t>※ 본 시스템은 BOM을 단일 기준정보로 하여 생산실적 및 입출고에 따른 실시간 자재 자동 차감(백플러시)과 MRP 기능을 제공합니다.</t>
        </is>
      </c>
    </row>
    <row r="4">
      <c r="A4" s="8" t="inlineStr">
        <is>
          <t>【 1. 시스템 초기 설정 및 일상 운영 흐름 (표준 운영 7단계) 】</t>
        </is>
      </c>
    </row>
    <row r="5" ht="17.25" customHeight="1">
      <c r="A5" s="9" t="inlineStr">
        <is>
          <t>단계</t>
        </is>
      </c>
      <c r="B5" s="9" t="inlineStr">
        <is>
          <t>업무명</t>
        </is>
      </c>
      <c r="C5" s="9" t="inlineStr">
        <is>
          <t>관련 시트</t>
        </is>
      </c>
      <c r="D5" s="9" t="inlineStr">
        <is>
          <t>주요 작업 내용 및 세부 수칙</t>
        </is>
      </c>
      <c r="E5" s="9" t="inlineStr">
        <is>
          <t>자동 반영 및 연계 결과</t>
        </is>
      </c>
    </row>
    <row r="6">
      <c r="A6" s="5" t="inlineStr">
        <is>
          <t>STEP 1</t>
        </is>
      </c>
      <c r="B6" s="5" t="inlineStr">
        <is>
          <t>품목 기준정보 확인</t>
        </is>
      </c>
      <c r="C6" s="5" t="inlineStr">
        <is>
          <t>품목_기준정보</t>
        </is>
      </c>
      <c r="D6" s="6" t="inlineStr">
        <is>
          <t>부품코드, 부품명, 기초재고, 안전재고, 목표재고를 확인하고 신규 부품 필요 시 행을 등록합니다.</t>
        </is>
      </c>
      <c r="E6" s="6" t="inlineStr">
        <is>
          <t>대시보드 수불 현황의 품목 및 안전재고 기준으로 자동 연계</t>
        </is>
      </c>
    </row>
    <row r="7">
      <c r="A7" s="5" t="inlineStr">
        <is>
          <t>STEP 2</t>
        </is>
      </c>
      <c r="B7" s="5" t="inlineStr">
        <is>
          <t>BOM 정규형 등록</t>
        </is>
      </c>
      <c r="C7" s="5" t="inlineStr">
        <is>
          <t>BOM_정규형</t>
        </is>
      </c>
      <c r="D7" s="6" t="inlineStr">
        <is>
          <t>완제품 1개 생산 시 소요되는 부품명과 소요원단위(EA)를 등록합니다.</t>
        </is>
      </c>
      <c r="E7" s="6" t="inlineStr">
        <is>
          <t>모든 생산차감, 생산계획 소요량, 가용 생산능력의 단일 기준으로 작동</t>
        </is>
      </c>
    </row>
    <row r="8">
      <c r="A8" s="5" t="inlineStr">
        <is>
          <t>STEP 3</t>
        </is>
      </c>
      <c r="B8" s="5" t="inlineStr">
        <is>
          <t>자재 입고/출고 등록</t>
        </is>
      </c>
      <c r="C8" s="5" t="inlineStr">
        <is>
          <t>자재_입출고원장</t>
        </is>
      </c>
      <c r="D8" s="6" t="inlineStr">
        <is>
          <t>협력업체 입고 발생 시 '입고'로, 폐기/파손/샘플 반출 시 '출고'로 전표 및 수량을 입력합니다.</t>
        </is>
      </c>
      <c r="E8" s="6" t="inlineStr">
        <is>
          <t>대시보드의 '입고누계', '기타출고' 및 현재고에 실시간 합산</t>
        </is>
      </c>
    </row>
    <row r="9">
      <c r="A9" s="5" t="inlineStr">
        <is>
          <t>STEP 4</t>
        </is>
      </c>
      <c r="B9" s="5" t="inlineStr">
        <is>
          <t>완제품 생산실적 등록</t>
        </is>
      </c>
      <c r="C9" s="5" t="inlineStr">
        <is>
          <t>생산_실적일지</t>
        </is>
      </c>
      <c r="D9" s="6" t="inlineStr">
        <is>
          <t>조립 완료 시 일자, 전표, 라인, 완제품코드, 생산수량, 양품/불량수량을 등록합니다.</t>
        </is>
      </c>
      <c r="E9" s="6" t="inlineStr">
        <is>
          <t>BOM 소요원단위에 따라 모든 원부자재가 실시간 자동 차감(백플러시)</t>
        </is>
      </c>
    </row>
    <row r="10">
      <c r="A10" s="5" t="inlineStr">
        <is>
          <t>STEP 5</t>
        </is>
      </c>
      <c r="B10" s="5" t="inlineStr">
        <is>
          <t>발주 및 미입고 등록</t>
        </is>
      </c>
      <c r="C10" s="5" t="inlineStr">
        <is>
          <t>발주_미입고관리</t>
        </is>
      </c>
      <c r="D10" s="6" t="inlineStr">
        <is>
          <t>원부자재 발주 시 발주일, 발주번호, 부품명, 발주수량을 등록하고 입고 시 완료수량을 입력합니다.</t>
        </is>
      </c>
      <c r="E10" s="6" t="inlineStr">
        <is>
          <t>미입고잔량이 대시보드의 '미입고예정량' 및 '가용재고'에 즉시 가산</t>
        </is>
      </c>
    </row>
    <row r="11">
      <c r="A11" s="5" t="inlineStr">
        <is>
          <t>STEP 6</t>
        </is>
      </c>
      <c r="B11" s="5" t="inlineStr">
        <is>
          <t>생산계획 시뮬레이션</t>
        </is>
      </c>
      <c r="C11" s="5" t="inlineStr">
        <is>
          <t>재고현황_대시보드</t>
        </is>
      </c>
      <c r="D11" s="6" t="inlineStr">
        <is>
          <t>생산 계획 수량을 입력하면 현재고 기준 가능 여부 및 부품별 계획 총소요량을 자동 계산합니다.</t>
        </is>
      </c>
      <c r="E11" s="6" t="inlineStr">
        <is>
          <t>부품별 예상 잔여재고 및 과부족 발생 시 추가 발주 필요량 자동 산출</t>
        </is>
      </c>
    </row>
    <row r="12">
      <c r="A12" s="5" t="inlineStr">
        <is>
          <t>STEP 7</t>
        </is>
      </c>
      <c r="B12" s="5" t="inlineStr">
        <is>
          <t>대시보드 점검 &amp; 발주</t>
        </is>
      </c>
      <c r="C12" s="5" t="inlineStr">
        <is>
          <t>재고현황_대시보드</t>
        </is>
      </c>
      <c r="D12" s="6" t="inlineStr">
        <is>
          <t>KPI 스코어카드(부족/주의 알림)와 필요발주량을 확인하고 구매팀에 발주를 진행합니다.</t>
        </is>
      </c>
      <c r="E12" s="6" t="inlineStr">
        <is>
          <t>자재 결품으로 인한 라인 정지 사전 방지 및 적정 재고 유지</t>
        </is>
      </c>
    </row>
    <row r="15">
      <c r="A15" s="8" t="inlineStr">
        <is>
          <t>【 2. 신제품(완제품) 추가 시 표준 절차 (대시보드 수식 수정 0건 원칙) 】</t>
        </is>
      </c>
    </row>
    <row r="16" ht="17.25" customHeight="1">
      <c r="A16" s="4" t="inlineStr">
        <is>
          <t>순서</t>
        </is>
      </c>
      <c r="B16" s="4" t="inlineStr">
        <is>
          <t>구분</t>
        </is>
      </c>
      <c r="C16" s="4" t="inlineStr">
        <is>
          <t>작업 시트</t>
        </is>
      </c>
      <c r="D16" s="4" t="inlineStr">
        <is>
          <t>상세 작업 절차</t>
        </is>
      </c>
      <c r="E16" s="4" t="inlineStr">
        <is>
          <t>비고 및 주의사항</t>
        </is>
      </c>
    </row>
    <row r="17">
      <c r="A17" s="5" t="inlineStr">
        <is>
          <t>1단계</t>
        </is>
      </c>
      <c r="B17" s="5" t="inlineStr">
        <is>
          <t>완제품코드 등록</t>
        </is>
      </c>
      <c r="C17" s="5" t="inlineStr">
        <is>
          <t>품목_기준정보</t>
        </is>
      </c>
      <c r="D17" s="6" t="inlineStr">
        <is>
          <t>하단 '완제품 기준정보 마스터'에 신규 완제품코드(예: FG-007), 완제품명, 규격을 추가합니다.</t>
        </is>
      </c>
      <c r="E17" s="6" t="inlineStr">
        <is>
          <t>완제품코드는 중복되지 않는 고유 코드로 채번</t>
        </is>
      </c>
    </row>
    <row r="18">
      <c r="A18" s="5" t="inlineStr">
        <is>
          <t>2단계</t>
        </is>
      </c>
      <c r="B18" s="5" t="inlineStr">
        <is>
          <t>BOM에 부품 구성 추가</t>
        </is>
      </c>
      <c r="C18" s="5" t="inlineStr">
        <is>
          <t>BOM_정규형</t>
        </is>
      </c>
      <c r="D18" s="6" t="inlineStr">
        <is>
          <t>신규 완제품을 구성하는 부품들과 소요원단위(EA)를 'BOM_정규형' 하단에 행으로 추가합니다.</t>
        </is>
      </c>
      <c r="E18" s="6" t="inlineStr">
        <is>
          <t>부품명은 품목_기준정보의 부품명과 100% 동일하게 입력</t>
        </is>
      </c>
    </row>
    <row r="19">
      <c r="A19" s="5" t="inlineStr">
        <is>
          <t>3단계</t>
        </is>
      </c>
      <c r="B19" s="5" t="inlineStr">
        <is>
          <t>신규 부품 등록 (필요시)</t>
        </is>
      </c>
      <c r="C19" s="5" t="inlineStr">
        <is>
          <t>품목_기준정보</t>
        </is>
      </c>
      <c r="D19" s="6" t="inlineStr">
        <is>
          <t>기존에 없던 새로운 부품이 쓰인다면 '원부자재 기준정보 마스터'에 부품코드/부품명을 먼저 등록합니다.</t>
        </is>
      </c>
      <c r="E19" s="6" t="inlineStr">
        <is>
          <t>대시보드 수불 현황에도 행을 추가하여 재고 관리</t>
        </is>
      </c>
    </row>
    <row r="20">
      <c r="A20" s="5" t="inlineStr">
        <is>
          <t>4단계</t>
        </is>
      </c>
      <c r="B20" s="5" t="inlineStr">
        <is>
          <t>생산실적 입력</t>
        </is>
      </c>
      <c r="C20" s="5" t="inlineStr">
        <is>
          <t>생산_실적일지</t>
        </is>
      </c>
      <c r="D20" s="6" t="inlineStr">
        <is>
          <t>생산실적에 신규 완제품코드(FG-007)와 생산수량을 입력합니다.</t>
        </is>
      </c>
      <c r="E20" s="6" t="inlineStr">
        <is>
          <t>완제품명과 규격이 자동 조회되며 입력 완료</t>
        </is>
      </c>
    </row>
    <row r="21">
      <c r="A21" s="5" t="inlineStr">
        <is>
          <t>완료!</t>
        </is>
      </c>
      <c r="B21" s="5" t="inlineStr">
        <is>
          <t>자동 연동 확인</t>
        </is>
      </c>
      <c r="C21" s="5" t="inlineStr">
        <is>
          <t>재고현황_대시보드</t>
        </is>
      </c>
      <c r="D21" s="6" t="inlineStr">
        <is>
          <t>대시보드 수식을 전혀 수정하지 않아도 BOM에 등록된 부품들의 생산차감과 재고가 자동 반영됩니다.</t>
        </is>
      </c>
      <c r="E21" s="6" t="inlineStr">
        <is>
          <t>★ 수식 하드코딩 0% 구조로 100% 자동화 달성</t>
        </is>
      </c>
    </row>
    <row r="24">
      <c r="A24" s="8" t="inlineStr">
        <is>
          <t>【 3. 셀 배경 색상 구분 규칙 (사용자 안내) 】</t>
        </is>
      </c>
    </row>
    <row r="25" ht="17.25" customHeight="1">
      <c r="A25" s="10" t="inlineStr">
        <is>
          <t>색상 구분</t>
        </is>
      </c>
      <c r="B25" s="10" t="inlineStr">
        <is>
          <t>표시 색상 예시</t>
        </is>
      </c>
      <c r="C25" s="10" t="inlineStr">
        <is>
          <t>해당 셀 영역</t>
        </is>
      </c>
      <c r="D25" s="10" t="inlineStr">
        <is>
          <t>작업 지침</t>
        </is>
      </c>
    </row>
    <row r="26">
      <c r="A26" s="11" t="inlineStr">
        <is>
          <t>사용자 수기 입력 셀</t>
        </is>
      </c>
      <c r="B26" s="12" t="inlineStr">
        <is>
          <t>■ SAMPLE</t>
        </is>
      </c>
      <c r="C26" s="6" t="inlineStr">
        <is>
          <t>일자, 전표번호, 코드, 실적/계획수량, 거래처 등</t>
        </is>
      </c>
      <c r="D26" s="6" t="inlineStr">
        <is>
          <t>사용자가 직접 타이핑하거나 선택하여 입력하는 영역입니다.</t>
        </is>
      </c>
    </row>
    <row r="27">
      <c r="A27" s="11" t="inlineStr">
        <is>
          <t>시스템 자동 계산 셀</t>
        </is>
      </c>
      <c r="B27" s="13" t="inlineStr">
        <is>
          <t>■ SAMPLE</t>
        </is>
      </c>
      <c r="C27" s="6" t="inlineStr">
        <is>
          <t>생산차감, 현재고, 가용재고, 최대가능량, 발주량 등</t>
        </is>
      </c>
      <c r="D27" s="6" t="inlineStr">
        <is>
          <t>수식이 적용되어 있으므로 임의로 수정하거나 삭제하지 마십시오.</t>
        </is>
      </c>
    </row>
    <row r="28">
      <c r="A28" s="11" t="inlineStr">
        <is>
          <t>오류 및 경고 알림 셀</t>
        </is>
      </c>
      <c r="B28" s="14" t="inlineStr">
        <is>
          <t>■ SAMPLE</t>
        </is>
      </c>
      <c r="C28" s="6" t="inlineStr">
        <is>
          <t>수량불일치 오류, 음수 오류, 미등록 품목, 재고 부족</t>
        </is>
      </c>
      <c r="D28" s="6" t="inlineStr">
        <is>
          <t>입력 데이터에 오류가 있거나 재고가 결품 상태이므로 확인 조치하십시오.</t>
        </is>
      </c>
    </row>
    <row r="31">
      <c r="A31" s="8" t="inlineStr">
        <is>
          <t>【 4. 자주 묻는 질문 및 현장 트러블슈팅 가이드 (FAQ) 】</t>
        </is>
      </c>
    </row>
    <row r="32" ht="17.25" customHeight="1">
      <c r="A32" s="15" t="inlineStr">
        <is>
          <t>구분</t>
        </is>
      </c>
      <c r="B32" s="15" t="inlineStr">
        <is>
          <t>질문 및 상황</t>
        </is>
      </c>
      <c r="C32" s="15" t="inlineStr">
        <is>
          <t>원인 분석</t>
        </is>
      </c>
      <c r="D32" s="15" t="inlineStr">
        <is>
          <t>표준 조치 방법</t>
        </is>
      </c>
    </row>
    <row r="33">
      <c r="A33" s="5" t="inlineStr">
        <is>
          <t>Q1</t>
        </is>
      </c>
      <c r="B33" s="6" t="inlineStr">
        <is>
          <t>실제 재고와 장부상 현재고가 맞지 않음</t>
        </is>
      </c>
      <c r="C33" s="6" t="inlineStr">
        <is>
          <t>미기록 출고, 공정 불량 부품 미기록, 자재 파손 누락</t>
        </is>
      </c>
      <c r="D33" s="6" t="inlineStr">
        <is>
          <t>실물 수량을 파악한 후 '자재_입출고원장'에 차이 수량을 '출고'(비고: 재고실사조정)로 등록</t>
        </is>
      </c>
    </row>
    <row r="34">
      <c r="A34" s="5" t="inlineStr">
        <is>
          <t>Q2</t>
        </is>
      </c>
      <c r="B34" s="6" t="inlineStr">
        <is>
          <t>생산실적을 넣었는데 자재 차감이 안 됨</t>
        </is>
      </c>
      <c r="C34" s="6" t="inlineStr">
        <is>
          <t>완제품코드 오입력 또는 BOM 정규형에 해당 완제품/부품 누락</t>
        </is>
      </c>
      <c r="D34" s="6" t="inlineStr">
        <is>
          <t>'생산_실적일지' 완제품코드 철자 확인 및 'BOM_정규형' 매칭 점검</t>
        </is>
      </c>
    </row>
    <row r="35">
      <c r="A35" s="5" t="inlineStr">
        <is>
          <t>Q3</t>
        </is>
      </c>
      <c r="B35" s="6" t="inlineStr">
        <is>
          <t>생산실적 검증상태에 '수량불일치 오류'</t>
        </is>
      </c>
      <c r="C35" s="6" t="inlineStr">
        <is>
          <t>생산수량 ≠ 양품수량 + 불량수량 불일치</t>
        </is>
      </c>
      <c r="D35" s="6" t="inlineStr">
        <is>
          <t>생산수량과 양품+불량의 합계가 일치하도록 수량 정정</t>
        </is>
      </c>
    </row>
    <row r="36">
      <c r="A36" s="5" t="inlineStr">
        <is>
          <t>Q4</t>
        </is>
      </c>
      <c r="B36" s="6" t="inlineStr">
        <is>
          <t>완제품 생산가능량이 0으로 표시됨</t>
        </is>
      </c>
      <c r="C36" s="6" t="inlineStr">
        <is>
          <t>해당 완제품을 구성하는 부품 중 1개 이상이 현재고 결품(병목)</t>
        </is>
      </c>
      <c r="D36" s="6" t="inlineStr">
        <is>
          <t>대시보드의 '병목부품' 열을 확인하여 부족한 부품 긴급 발주 진행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ColWidth="9" defaultRowHeight="16.5"/>
  <cols>
    <col width="12" customWidth="1" min="1" max="1"/>
    <col width="18" customWidth="1" min="2" max="2"/>
    <col width="14" customWidth="1" min="3" max="3"/>
    <col width="18" customWidth="1" min="4" max="4"/>
    <col width="12" customWidth="1" min="5" max="5"/>
    <col width="20" customWidth="1" min="6" max="6"/>
    <col width="13" customWidth="1" min="7" max="7"/>
    <col width="18" customWidth="1" min="8" max="8"/>
    <col width="13" customWidth="1" min="9" max="9"/>
  </cols>
  <sheetData>
    <row r="1" ht="24" customHeight="1">
      <c r="A1" s="2" t="inlineStr">
        <is>
          <t>완제품별 부품 소요 매트릭스 (참고용 뷰)</t>
        </is>
      </c>
    </row>
    <row r="2">
      <c r="A2" s="3" t="inlineStr">
        <is>
          <t>※ 기존 파일의 매트릭스 형태를 보존한 참고용 시트입니다. 시스템의 모든 연산은 'BOM_정규형'을 기준으로 작동합니다.</t>
        </is>
      </c>
    </row>
    <row r="4" ht="17.25" customHeight="1">
      <c r="A4" s="4" t="inlineStr">
        <is>
          <t>완제품 코드</t>
        </is>
      </c>
      <c r="B4" s="4" t="inlineStr">
        <is>
          <t>완제품명</t>
        </is>
      </c>
      <c r="C4" s="4" t="inlineStr">
        <is>
          <t>구분</t>
        </is>
      </c>
      <c r="D4" s="4" t="inlineStr">
        <is>
          <t>유리선반</t>
        </is>
      </c>
      <c r="E4" s="4" t="inlineStr">
        <is>
          <t>유리 소요량</t>
        </is>
      </c>
      <c r="F4" s="4" t="inlineStr">
        <is>
          <t>선반가이드</t>
        </is>
      </c>
      <c r="G4" s="4" t="inlineStr">
        <is>
          <t>가이드 소요량</t>
        </is>
      </c>
      <c r="H4" s="4" t="inlineStr">
        <is>
          <t>선반브라켓</t>
        </is>
      </c>
      <c r="I4" s="4" t="inlineStr">
        <is>
          <t>브라켓 소요량</t>
        </is>
      </c>
    </row>
    <row r="5">
      <c r="A5" s="5" t="inlineStr">
        <is>
          <t>FG-001</t>
        </is>
      </c>
      <c r="B5" s="6" t="inlineStr">
        <is>
          <t>블랙코너선반</t>
        </is>
      </c>
      <c r="C5" s="5" t="inlineStr">
        <is>
          <t>블랙 / 삼각</t>
        </is>
      </c>
      <c r="D5" s="6" t="inlineStr">
        <is>
          <t>블랙삼각선반</t>
        </is>
      </c>
      <c r="E5" s="7" t="n">
        <v>1</v>
      </c>
      <c r="F5" s="6" t="inlineStr">
        <is>
          <t>블랙코너선반가이드</t>
        </is>
      </c>
      <c r="G5" s="7" t="n">
        <v>1</v>
      </c>
      <c r="H5" s="6" t="inlineStr">
        <is>
          <t>블랙선반브라켓</t>
        </is>
      </c>
      <c r="I5" s="7" t="n">
        <v>2</v>
      </c>
    </row>
    <row r="6">
      <c r="A6" s="5" t="inlineStr">
        <is>
          <t>FG-002</t>
        </is>
      </c>
      <c r="B6" s="6" t="inlineStr">
        <is>
          <t>블랙일자선반</t>
        </is>
      </c>
      <c r="C6" s="5" t="inlineStr">
        <is>
          <t>블랙 / 일자</t>
        </is>
      </c>
      <c r="D6" s="6" t="inlineStr">
        <is>
          <t>블랙일자선반</t>
        </is>
      </c>
      <c r="E6" s="7" t="n">
        <v>1</v>
      </c>
      <c r="F6" s="6" t="inlineStr">
        <is>
          <t>블랙일자선반가이드</t>
        </is>
      </c>
      <c r="G6" s="7" t="n">
        <v>2</v>
      </c>
      <c r="H6" s="6" t="inlineStr">
        <is>
          <t>블랙선반브라켓</t>
        </is>
      </c>
      <c r="I6" s="7" t="n">
        <v>2</v>
      </c>
    </row>
    <row r="7">
      <c r="A7" s="5" t="inlineStr">
        <is>
          <t>FG-003</t>
        </is>
      </c>
      <c r="B7" s="6" t="inlineStr">
        <is>
          <t>블랙오각선반</t>
        </is>
      </c>
      <c r="C7" s="5" t="inlineStr">
        <is>
          <t>블랙 / 오각</t>
        </is>
      </c>
      <c r="D7" s="6" t="inlineStr">
        <is>
          <t>블랙오각선반</t>
        </is>
      </c>
      <c r="E7" s="7" t="n">
        <v>1</v>
      </c>
      <c r="F7" s="6" t="inlineStr">
        <is>
          <t>블랙일자선반가이드</t>
        </is>
      </c>
      <c r="G7" s="7" t="n">
        <v>1</v>
      </c>
      <c r="H7" s="6" t="inlineStr">
        <is>
          <t>블랙선반브라켓</t>
        </is>
      </c>
      <c r="I7" s="7" t="n">
        <v>2</v>
      </c>
    </row>
    <row r="8">
      <c r="A8" s="5" t="inlineStr">
        <is>
          <t>FG-004</t>
        </is>
      </c>
      <c r="B8" s="6" t="inlineStr">
        <is>
          <t>코너선반</t>
        </is>
      </c>
      <c r="C8" s="5" t="inlineStr">
        <is>
          <t>그린 / 삼각</t>
        </is>
      </c>
      <c r="D8" s="6" t="inlineStr">
        <is>
          <t>그린삼각선반</t>
        </is>
      </c>
      <c r="E8" s="7" t="n">
        <v>1</v>
      </c>
      <c r="F8" s="6" t="inlineStr">
        <is>
          <t>크롬코너선반가이드</t>
        </is>
      </c>
      <c r="G8" s="7" t="n">
        <v>1</v>
      </c>
      <c r="H8" s="6" t="inlineStr">
        <is>
          <t>크롬선반브라켓</t>
        </is>
      </c>
      <c r="I8" s="7" t="n">
        <v>2</v>
      </c>
    </row>
    <row r="9">
      <c r="A9" s="5" t="inlineStr">
        <is>
          <t>FG-005</t>
        </is>
      </c>
      <c r="B9" s="6" t="inlineStr">
        <is>
          <t>일자선반</t>
        </is>
      </c>
      <c r="C9" s="5" t="inlineStr">
        <is>
          <t>그린 / 일자</t>
        </is>
      </c>
      <c r="D9" s="6" t="inlineStr">
        <is>
          <t>그린일자선반</t>
        </is>
      </c>
      <c r="E9" s="7" t="n">
        <v>1</v>
      </c>
      <c r="F9" s="6" t="inlineStr">
        <is>
          <t>크롬일자선반가이드</t>
        </is>
      </c>
      <c r="G9" s="7" t="n">
        <v>2</v>
      </c>
      <c r="H9" s="6" t="inlineStr">
        <is>
          <t>크롬선반브라켓</t>
        </is>
      </c>
      <c r="I9" s="7" t="n">
        <v>2</v>
      </c>
    </row>
    <row r="10">
      <c r="A10" s="5" t="inlineStr">
        <is>
          <t>FG-006</t>
        </is>
      </c>
      <c r="B10" s="6" t="inlineStr">
        <is>
          <t>오각선반</t>
        </is>
      </c>
      <c r="C10" s="5" t="inlineStr">
        <is>
          <t>그린 / 오각</t>
        </is>
      </c>
      <c r="D10" s="6" t="inlineStr">
        <is>
          <t>그린오각선반</t>
        </is>
      </c>
      <c r="E10" s="7" t="n">
        <v>1</v>
      </c>
      <c r="F10" s="6" t="inlineStr">
        <is>
          <t>크롬일자선반가이드</t>
        </is>
      </c>
      <c r="G10" s="7" t="n">
        <v>1</v>
      </c>
      <c r="H10" s="6" t="inlineStr">
        <is>
          <t>크롬선반브라켓</t>
        </is>
      </c>
      <c r="I10" s="7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R96"/>
  <sheetViews>
    <sheetView workbookViewId="0">
      <selection activeCell="A1" sqref="A1"/>
    </sheetView>
  </sheetViews>
  <sheetFormatPr baseColWidth="8" defaultColWidth="9" defaultRowHeight="16.5"/>
  <sheetData>
    <row r="3">
      <c r="B3" s="1" t="inlineStr">
        <is>
          <t>품목</t>
        </is>
      </c>
      <c r="C3" s="1" t="inlineStr">
        <is>
          <t>구분</t>
        </is>
      </c>
      <c r="D3" s="1" t="inlineStr">
        <is>
          <t>규격</t>
        </is>
      </c>
      <c r="E3" s="1" t="inlineStr">
        <is>
          <t>묶음수량</t>
        </is>
      </c>
      <c r="F3" s="1" t="inlineStr">
        <is>
          <t>수량</t>
        </is>
      </c>
      <c r="G3" s="1" t="inlineStr">
        <is>
          <t>비고</t>
        </is>
      </c>
    </row>
    <row r="4">
      <c r="B4" s="1" t="inlineStr">
        <is>
          <t>박스</t>
        </is>
      </c>
      <c r="C4" s="1" t="inlineStr">
        <is>
          <t>일자선반</t>
        </is>
      </c>
      <c r="D4" s="1" t="inlineStr">
        <is>
          <t>인박스</t>
        </is>
      </c>
      <c r="F4" s="1" t="inlineStr">
        <is>
          <t>OK</t>
        </is>
      </c>
    </row>
    <row r="5">
      <c r="C5" s="1" t="inlineStr">
        <is>
          <t>일자선반</t>
        </is>
      </c>
      <c r="D5" s="1" t="inlineStr">
        <is>
          <t>카튼박스</t>
        </is>
      </c>
      <c r="F5" s="1" t="inlineStr">
        <is>
          <t>OK</t>
        </is>
      </c>
    </row>
    <row r="6">
      <c r="C6" s="1" t="inlineStr">
        <is>
          <t>코너선반</t>
        </is>
      </c>
      <c r="D6" s="1" t="inlineStr">
        <is>
          <t>인박스</t>
        </is>
      </c>
      <c r="F6" s="1" t="inlineStr">
        <is>
          <t>X</t>
        </is>
      </c>
    </row>
    <row r="7">
      <c r="C7" s="1" t="inlineStr">
        <is>
          <t>코너선반</t>
        </is>
      </c>
      <c r="D7" s="1" t="inlineStr">
        <is>
          <t>카튼박스</t>
        </is>
      </c>
      <c r="F7" s="1" t="n">
        <v>100</v>
      </c>
    </row>
    <row r="8">
      <c r="B8" s="1" t="inlineStr">
        <is>
          <t>유리선반</t>
        </is>
      </c>
      <c r="C8" s="1" t="inlineStr">
        <is>
          <t>블랙</t>
        </is>
      </c>
      <c r="D8" s="1" t="inlineStr">
        <is>
          <t>오각</t>
        </is>
      </c>
      <c r="E8" s="1" t="inlineStr">
        <is>
          <t>46 BOX</t>
        </is>
      </c>
      <c r="F8" s="1" t="n">
        <v>1150</v>
      </c>
      <c r="G8" s="1" t="inlineStr">
        <is>
          <t>25 개입/1BOX</t>
        </is>
      </c>
    </row>
    <row r="9">
      <c r="D9" s="1" t="inlineStr">
        <is>
          <t>삼각(라운드)</t>
        </is>
      </c>
      <c r="E9" s="1" t="inlineStr">
        <is>
          <t>13 BOX</t>
        </is>
      </c>
      <c r="F9" s="1" t="n">
        <v>325</v>
      </c>
      <c r="G9" s="1" t="inlineStr">
        <is>
          <t>25 개입/1BOX</t>
        </is>
      </c>
    </row>
    <row r="10">
      <c r="D10" s="1" t="inlineStr">
        <is>
          <t>일자</t>
        </is>
      </c>
      <c r="E10" s="1" t="inlineStr">
        <is>
          <t>10 BOX</t>
        </is>
      </c>
      <c r="F10" s="1" t="n">
        <v>200</v>
      </c>
      <c r="G10" s="1" t="inlineStr">
        <is>
          <t>20 개입/1BOX</t>
        </is>
      </c>
    </row>
    <row r="11">
      <c r="C11" s="1" t="inlineStr">
        <is>
          <t>그린</t>
        </is>
      </c>
      <c r="D11" s="1" t="inlineStr">
        <is>
          <t>오각</t>
        </is>
      </c>
      <c r="E11" s="1" t="inlineStr">
        <is>
          <t>34 BOX</t>
        </is>
      </c>
      <c r="F11" s="1" t="n">
        <v>850</v>
      </c>
      <c r="G11" s="1" t="inlineStr">
        <is>
          <t>25 개입/1BOX</t>
        </is>
      </c>
    </row>
    <row r="12">
      <c r="D12" s="1" t="inlineStr">
        <is>
          <t>삼각(라운드)</t>
        </is>
      </c>
      <c r="E12" s="1" t="inlineStr">
        <is>
          <t>21 BOX</t>
        </is>
      </c>
      <c r="F12" s="1" t="n">
        <v>525</v>
      </c>
      <c r="G12" s="1" t="inlineStr">
        <is>
          <t>25 개입/1BOX</t>
        </is>
      </c>
    </row>
    <row r="13">
      <c r="D13" s="1" t="inlineStr">
        <is>
          <t>일자</t>
        </is>
      </c>
      <c r="E13" s="1" t="inlineStr">
        <is>
          <t>14 BOX</t>
        </is>
      </c>
      <c r="F13" s="1" t="n">
        <v>280</v>
      </c>
      <c r="G13" s="1" t="inlineStr">
        <is>
          <t>20 개입/1BOX</t>
        </is>
      </c>
    </row>
    <row r="14">
      <c r="B14" s="1" t="inlineStr">
        <is>
          <t>코너선반가이드</t>
        </is>
      </c>
      <c r="C14" s="1" t="inlineStr">
        <is>
          <t>그린</t>
        </is>
      </c>
      <c r="D14" s="1" t="inlineStr">
        <is>
          <t>라운드</t>
        </is>
      </c>
      <c r="E14" s="1" t="inlineStr">
        <is>
          <t>4 BOX</t>
        </is>
      </c>
      <c r="F14" s="1" t="n">
        <v>1250</v>
      </c>
      <c r="G14" s="1" t="n">
        <v>250</v>
      </c>
    </row>
    <row r="15">
      <c r="D15" s="1" t="inlineStr">
        <is>
          <t>일자선반용</t>
        </is>
      </c>
      <c r="E15" s="1" t="inlineStr">
        <is>
          <t>X</t>
        </is>
      </c>
    </row>
    <row r="16">
      <c r="C16" s="1" t="inlineStr">
        <is>
          <t>블랙</t>
        </is>
      </c>
      <c r="D16" s="1" t="inlineStr">
        <is>
          <t>라운드</t>
        </is>
      </c>
      <c r="E16" s="1" t="inlineStr">
        <is>
          <t>2 BOX</t>
        </is>
      </c>
      <c r="F16" s="1" t="n">
        <v>500</v>
      </c>
      <c r="G16" s="1" t="n">
        <v>250</v>
      </c>
    </row>
    <row r="17">
      <c r="D17" s="1" t="inlineStr">
        <is>
          <t>일자선반용</t>
        </is>
      </c>
      <c r="E17" s="1" t="inlineStr">
        <is>
          <t>X</t>
        </is>
      </c>
    </row>
    <row r="18">
      <c r="B18" s="1" t="inlineStr">
        <is>
          <t>선반브라켓</t>
        </is>
      </c>
      <c r="C18" s="1" t="inlineStr">
        <is>
          <t>크롬</t>
        </is>
      </c>
      <c r="E18" s="1" t="inlineStr">
        <is>
          <t>4 BOX</t>
        </is>
      </c>
      <c r="F18" s="1" t="n">
        <v>1600</v>
      </c>
      <c r="G18" s="1" t="inlineStr">
        <is>
          <t>400 개입/1BOX</t>
        </is>
      </c>
    </row>
    <row r="19">
      <c r="C19" s="1" t="inlineStr">
        <is>
          <t>블랙</t>
        </is>
      </c>
      <c r="E19" s="1" t="inlineStr">
        <is>
          <t>8 BOX</t>
        </is>
      </c>
      <c r="F19" s="1" t="n">
        <v>1824</v>
      </c>
      <c r="G19" s="1" t="inlineStr">
        <is>
          <t>228 개입/1BOX</t>
        </is>
      </c>
    </row>
    <row r="28">
      <c r="B28" s="1" t="inlineStr">
        <is>
          <t>박스</t>
        </is>
      </c>
      <c r="C28" s="1" t="inlineStr">
        <is>
          <t>일자선반</t>
        </is>
      </c>
      <c r="D28" s="1" t="inlineStr">
        <is>
          <t>인박스</t>
        </is>
      </c>
      <c r="F28" s="1" t="inlineStr">
        <is>
          <t>OK</t>
        </is>
      </c>
    </row>
    <row r="29">
      <c r="B29" s="1" t="inlineStr">
        <is>
          <t>박스</t>
        </is>
      </c>
      <c r="C29" s="1" t="inlineStr">
        <is>
          <t>일자선반</t>
        </is>
      </c>
      <c r="D29" s="1" t="inlineStr">
        <is>
          <t>카튼박스</t>
        </is>
      </c>
      <c r="F29" s="1" t="inlineStr">
        <is>
          <t>OK</t>
        </is>
      </c>
    </row>
    <row r="30">
      <c r="B30" s="1" t="inlineStr">
        <is>
          <t>박스</t>
        </is>
      </c>
      <c r="C30" s="1" t="inlineStr">
        <is>
          <t>코너선반</t>
        </is>
      </c>
      <c r="D30" s="1" t="inlineStr">
        <is>
          <t>인박스</t>
        </is>
      </c>
      <c r="F30" s="1" t="inlineStr">
        <is>
          <t>X</t>
        </is>
      </c>
    </row>
    <row r="31">
      <c r="B31" s="1" t="inlineStr">
        <is>
          <t>박스</t>
        </is>
      </c>
      <c r="C31" s="1" t="inlineStr">
        <is>
          <t>코너선반</t>
        </is>
      </c>
      <c r="D31" s="1" t="inlineStr">
        <is>
          <t>카튼박스</t>
        </is>
      </c>
      <c r="F31" s="1" t="n">
        <v>100</v>
      </c>
    </row>
    <row r="32">
      <c r="B32" s="1" t="inlineStr">
        <is>
          <t>유리선반</t>
        </is>
      </c>
      <c r="C32" s="1" t="inlineStr">
        <is>
          <t>블랙</t>
        </is>
      </c>
      <c r="D32" s="1" t="inlineStr">
        <is>
          <t>오각</t>
        </is>
      </c>
      <c r="E32" s="1" t="inlineStr">
        <is>
          <t>46 BOX</t>
        </is>
      </c>
      <c r="F32" s="1" t="n">
        <v>1150</v>
      </c>
    </row>
    <row r="33">
      <c r="B33" s="1" t="inlineStr">
        <is>
          <t>유리선반</t>
        </is>
      </c>
      <c r="C33" s="1" t="inlineStr">
        <is>
          <t>블랙</t>
        </is>
      </c>
      <c r="D33" s="1" t="inlineStr">
        <is>
          <t>삼각(라운드)</t>
        </is>
      </c>
      <c r="E33" s="1" t="inlineStr">
        <is>
          <t>13 BOX</t>
        </is>
      </c>
      <c r="F33" s="1" t="n">
        <v>325</v>
      </c>
    </row>
    <row r="34">
      <c r="B34" s="1" t="inlineStr">
        <is>
          <t>유리선반</t>
        </is>
      </c>
      <c r="C34" s="1" t="inlineStr">
        <is>
          <t>블랙</t>
        </is>
      </c>
      <c r="D34" s="1" t="inlineStr">
        <is>
          <t>일자</t>
        </is>
      </c>
      <c r="E34" s="1" t="inlineStr">
        <is>
          <t>10 BOX</t>
        </is>
      </c>
      <c r="F34" s="1" t="n">
        <v>200</v>
      </c>
    </row>
    <row r="35">
      <c r="B35" s="1" t="inlineStr">
        <is>
          <t>유리선반</t>
        </is>
      </c>
      <c r="C35" s="1" t="inlineStr">
        <is>
          <t>그린</t>
        </is>
      </c>
      <c r="D35" s="1" t="inlineStr">
        <is>
          <t>오각</t>
        </is>
      </c>
      <c r="E35" s="1" t="inlineStr">
        <is>
          <t>34 BOX</t>
        </is>
      </c>
      <c r="F35" s="1" t="n">
        <v>850</v>
      </c>
    </row>
    <row r="36">
      <c r="B36" s="1" t="inlineStr">
        <is>
          <t>유리선반</t>
        </is>
      </c>
      <c r="C36" s="1" t="inlineStr">
        <is>
          <t>그린</t>
        </is>
      </c>
      <c r="D36" s="1" t="inlineStr">
        <is>
          <t>삼각(라운드)</t>
        </is>
      </c>
      <c r="E36" s="1" t="inlineStr">
        <is>
          <t>21 BOX</t>
        </is>
      </c>
      <c r="F36" s="1" t="n">
        <v>525</v>
      </c>
    </row>
    <row r="37">
      <c r="B37" s="1" t="inlineStr">
        <is>
          <t>유리선반</t>
        </is>
      </c>
      <c r="C37" s="1" t="inlineStr">
        <is>
          <t>그린</t>
        </is>
      </c>
      <c r="D37" s="1" t="inlineStr">
        <is>
          <t>일자</t>
        </is>
      </c>
      <c r="E37" s="1" t="inlineStr">
        <is>
          <t>14 BOX</t>
        </is>
      </c>
      <c r="F37" s="1" t="n">
        <v>280</v>
      </c>
    </row>
    <row r="38">
      <c r="B38" s="1" t="inlineStr">
        <is>
          <t>코너선반가이드</t>
        </is>
      </c>
      <c r="C38" s="1" t="inlineStr">
        <is>
          <t>그린</t>
        </is>
      </c>
      <c r="D38" s="1" t="inlineStr">
        <is>
          <t>라운드</t>
        </is>
      </c>
      <c r="E38" s="1" t="inlineStr">
        <is>
          <t>4 BOX</t>
        </is>
      </c>
      <c r="F38" s="1" t="n">
        <v>1250</v>
      </c>
    </row>
    <row r="39">
      <c r="B39" s="1" t="inlineStr">
        <is>
          <t>코너선반가이드</t>
        </is>
      </c>
      <c r="C39" s="1" t="inlineStr">
        <is>
          <t>그린</t>
        </is>
      </c>
      <c r="D39" s="1" t="inlineStr">
        <is>
          <t>일자선반용</t>
        </is>
      </c>
      <c r="E39" s="1" t="inlineStr">
        <is>
          <t>X</t>
        </is>
      </c>
    </row>
    <row r="40">
      <c r="B40" s="1" t="inlineStr">
        <is>
          <t>코너선반가이드</t>
        </is>
      </c>
      <c r="C40" s="1" t="inlineStr">
        <is>
          <t>블랙</t>
        </is>
      </c>
      <c r="D40" s="1" t="inlineStr">
        <is>
          <t>라운드</t>
        </is>
      </c>
      <c r="E40" s="1" t="inlineStr">
        <is>
          <t>2 BOX</t>
        </is>
      </c>
      <c r="F40" s="1" t="n">
        <v>500</v>
      </c>
    </row>
    <row r="41">
      <c r="B41" s="1" t="inlineStr">
        <is>
          <t>코너선반가이드</t>
        </is>
      </c>
      <c r="C41" s="1" t="inlineStr">
        <is>
          <t>블랙</t>
        </is>
      </c>
      <c r="D41" s="1" t="inlineStr">
        <is>
          <t>일자선반용</t>
        </is>
      </c>
      <c r="E41" s="1" t="inlineStr">
        <is>
          <t>X</t>
        </is>
      </c>
    </row>
    <row r="42">
      <c r="B42" s="1" t="inlineStr">
        <is>
          <t>선반브라켓</t>
        </is>
      </c>
      <c r="C42" s="1" t="inlineStr">
        <is>
          <t>크롬</t>
        </is>
      </c>
      <c r="E42" s="1" t="inlineStr">
        <is>
          <t>4 BOX</t>
        </is>
      </c>
      <c r="F42" s="1" t="n">
        <v>1600</v>
      </c>
    </row>
    <row r="43">
      <c r="B43" s="1" t="inlineStr">
        <is>
          <t>선반브라켓</t>
        </is>
      </c>
      <c r="C43" s="1" t="inlineStr">
        <is>
          <t>블랙</t>
        </is>
      </c>
      <c r="E43" s="1" t="inlineStr">
        <is>
          <t>8 BOX</t>
        </is>
      </c>
      <c r="F43" s="1" t="n">
        <v>1824</v>
      </c>
    </row>
    <row r="47">
      <c r="B47" s="1" t="inlineStr">
        <is>
          <t>bom</t>
        </is>
      </c>
      <c r="C47" s="1" t="inlineStr">
        <is>
          <t>블랙코너선반</t>
        </is>
      </c>
      <c r="D47" s="1" t="inlineStr">
        <is>
          <t>블랙삼각선반</t>
        </is>
      </c>
      <c r="E47" s="1" t="inlineStr">
        <is>
          <t>블랙코너선반가이드</t>
        </is>
      </c>
      <c r="F47" s="1" t="inlineStr">
        <is>
          <t>블랙선반브라켓</t>
        </is>
      </c>
      <c r="G47" s="1" t="inlineStr">
        <is>
          <t>비닐</t>
        </is>
      </c>
      <c r="H47" s="1" t="inlineStr">
        <is>
          <t>칼브럭피스</t>
        </is>
      </c>
    </row>
    <row r="48">
      <c r="D48" s="1" t="n">
        <v>1</v>
      </c>
      <c r="E48" s="1" t="n">
        <v>1</v>
      </c>
      <c r="F48" s="1" t="n">
        <v>2</v>
      </c>
      <c r="G48" s="1" t="n">
        <v>1</v>
      </c>
      <c r="H48" s="1" t="n">
        <v>1</v>
      </c>
    </row>
    <row r="49">
      <c r="B49" s="1" t="inlineStr">
        <is>
          <t>bom</t>
        </is>
      </c>
      <c r="C49" s="1" t="inlineStr">
        <is>
          <t>블랙일자선반</t>
        </is>
      </c>
      <c r="D49" s="1" t="inlineStr">
        <is>
          <t>블랙일자선반</t>
        </is>
      </c>
      <c r="E49" s="1" t="inlineStr">
        <is>
          <t>블랙일자선반가이드</t>
        </is>
      </c>
      <c r="F49" s="1" t="inlineStr">
        <is>
          <t>블랙선반브라켓</t>
        </is>
      </c>
      <c r="G49" s="1" t="inlineStr">
        <is>
          <t>비닐</t>
        </is>
      </c>
      <c r="H49" s="1" t="inlineStr">
        <is>
          <t>칼브럭피스</t>
        </is>
      </c>
    </row>
    <row r="50">
      <c r="D50" s="1" t="n">
        <v>1</v>
      </c>
      <c r="E50" s="1" t="n">
        <v>2</v>
      </c>
      <c r="F50" s="1" t="n">
        <v>2</v>
      </c>
      <c r="G50" s="1" t="n">
        <v>1</v>
      </c>
      <c r="H50" s="1" t="n">
        <v>1</v>
      </c>
    </row>
    <row r="51">
      <c r="B51" s="1" t="inlineStr">
        <is>
          <t>bom</t>
        </is>
      </c>
      <c r="C51" s="1" t="inlineStr">
        <is>
          <t>블랙오각선반</t>
        </is>
      </c>
      <c r="D51" s="1" t="inlineStr">
        <is>
          <t>블랙오각선반</t>
        </is>
      </c>
      <c r="E51" s="1" t="inlineStr">
        <is>
          <t>블랙일자선반가이드</t>
        </is>
      </c>
      <c r="F51" s="1" t="inlineStr">
        <is>
          <t>블랙선반브라켓</t>
        </is>
      </c>
      <c r="G51" s="1" t="inlineStr">
        <is>
          <t>비닐</t>
        </is>
      </c>
      <c r="H51" s="1" t="inlineStr">
        <is>
          <t>칼브럭피스</t>
        </is>
      </c>
    </row>
    <row r="52">
      <c r="D52" s="1" t="n">
        <v>1</v>
      </c>
      <c r="E52" s="1" t="n">
        <v>1</v>
      </c>
      <c r="F52" s="1" t="n">
        <v>2</v>
      </c>
      <c r="G52" s="1" t="n">
        <v>1</v>
      </c>
      <c r="H52" s="1" t="n">
        <v>1</v>
      </c>
    </row>
    <row r="53">
      <c r="B53" s="1" t="inlineStr">
        <is>
          <t>bom</t>
        </is>
      </c>
      <c r="C53" s="1" t="inlineStr">
        <is>
          <t>코너선반</t>
        </is>
      </c>
      <c r="D53" s="1" t="inlineStr">
        <is>
          <t>그린삼각선반</t>
        </is>
      </c>
      <c r="E53" s="1" t="inlineStr">
        <is>
          <t>크롬코너선반가이드</t>
        </is>
      </c>
      <c r="F53" s="1" t="inlineStr">
        <is>
          <t>크롬선반브라켓</t>
        </is>
      </c>
      <c r="G53" s="1" t="inlineStr">
        <is>
          <t>비닐</t>
        </is>
      </c>
      <c r="H53" s="1" t="inlineStr">
        <is>
          <t>칼브럭피스</t>
        </is>
      </c>
    </row>
    <row r="54">
      <c r="D54" s="1" t="n">
        <v>1</v>
      </c>
      <c r="E54" s="1" t="n">
        <v>1</v>
      </c>
      <c r="F54" s="1" t="n">
        <v>2</v>
      </c>
      <c r="G54" s="1" t="n">
        <v>1</v>
      </c>
      <c r="H54" s="1" t="n">
        <v>1</v>
      </c>
    </row>
    <row r="55">
      <c r="B55" s="1" t="inlineStr">
        <is>
          <t>bom</t>
        </is>
      </c>
      <c r="C55" s="1" t="inlineStr">
        <is>
          <t>일자선반</t>
        </is>
      </c>
      <c r="D55" s="1" t="inlineStr">
        <is>
          <t>그린일자선반</t>
        </is>
      </c>
      <c r="E55" s="1" t="inlineStr">
        <is>
          <t>크롬일자선반가이드</t>
        </is>
      </c>
      <c r="F55" s="1" t="inlineStr">
        <is>
          <t>크롬선반브라켓</t>
        </is>
      </c>
      <c r="G55" s="1" t="inlineStr">
        <is>
          <t>비닐</t>
        </is>
      </c>
      <c r="H55" s="1" t="inlineStr">
        <is>
          <t>칼브럭피스</t>
        </is>
      </c>
    </row>
    <row r="56">
      <c r="D56" s="1" t="n">
        <v>1</v>
      </c>
      <c r="E56" s="1" t="n">
        <v>2</v>
      </c>
      <c r="F56" s="1" t="n">
        <v>2</v>
      </c>
      <c r="G56" s="1" t="n">
        <v>1</v>
      </c>
      <c r="H56" s="1" t="n">
        <v>1</v>
      </c>
    </row>
    <row r="57">
      <c r="B57" s="1" t="inlineStr">
        <is>
          <t>bom</t>
        </is>
      </c>
      <c r="C57" s="1" t="inlineStr">
        <is>
          <t>오각선반</t>
        </is>
      </c>
      <c r="D57" s="1" t="inlineStr">
        <is>
          <t>그린오각선반</t>
        </is>
      </c>
      <c r="E57" s="1" t="inlineStr">
        <is>
          <t>크롬일자선반가이드</t>
        </is>
      </c>
      <c r="F57" s="1" t="inlineStr">
        <is>
          <t>크롬선반브라켓</t>
        </is>
      </c>
      <c r="G57" s="1" t="inlineStr">
        <is>
          <t>비닐</t>
        </is>
      </c>
      <c r="H57" s="1" t="inlineStr">
        <is>
          <t>칼브럭피스</t>
        </is>
      </c>
    </row>
    <row r="58">
      <c r="D58" s="1" t="n">
        <v>1</v>
      </c>
      <c r="E58" s="1" t="n">
        <v>1</v>
      </c>
      <c r="F58" s="1" t="n">
        <v>2</v>
      </c>
      <c r="G58" s="1" t="n">
        <v>1</v>
      </c>
      <c r="H58" s="1" t="n">
        <v>1</v>
      </c>
    </row>
    <row r="60">
      <c r="K60" s="1" t="inlineStr">
        <is>
          <t>완제품별 생산 가능 수량 및 부품별 제약 분석</t>
        </is>
      </c>
    </row>
    <row r="61">
      <c r="K61" s="1" t="inlineStr">
        <is>
          <t>품목</t>
        </is>
      </c>
      <c r="L61" s="1" t="inlineStr">
        <is>
          <t>유리선반</t>
        </is>
      </c>
      <c r="M61" s="1" t="inlineStr">
        <is>
          <t>선반가이드</t>
        </is>
      </c>
      <c r="N61" s="1" t="inlineStr">
        <is>
          <t>선반브라켓</t>
        </is>
      </c>
      <c r="O61" s="1" t="inlineStr">
        <is>
          <t>공통부자재</t>
        </is>
      </c>
      <c r="P61" s="1" t="inlineStr">
        <is>
          <t>최대 생산가능수량</t>
        </is>
      </c>
      <c r="Q61" s="1" t="inlineStr">
        <is>
          <t>병목부품</t>
        </is>
      </c>
      <c r="R61" s="1" t="inlineStr">
        <is>
          <t>비고</t>
        </is>
      </c>
    </row>
    <row r="62">
      <c r="K62" s="1" t="inlineStr">
        <is>
          <t>블랙코너선반</t>
        </is>
      </c>
      <c r="L62" s="1" t="n">
        <v>20</v>
      </c>
      <c r="M62" s="1" t="n">
        <v>200</v>
      </c>
      <c r="N62" s="1" t="n">
        <v>512</v>
      </c>
      <c r="O62" s="1" t="n">
        <v>100</v>
      </c>
      <c r="P62" s="1" t="n">
        <v>20</v>
      </c>
      <c r="Q62" s="1" t="inlineStr">
        <is>
          <t>유리선반</t>
        </is>
      </c>
      <c r="R62" s="1" t="inlineStr">
        <is>
          <t>정상 생산 가능 (20 Set)</t>
        </is>
      </c>
    </row>
    <row r="63">
      <c r="K63" s="1" t="inlineStr">
        <is>
          <t>블랙일자선반</t>
        </is>
      </c>
      <c r="L63" s="1" t="n">
        <v>200</v>
      </c>
      <c r="M63" s="1" t="n">
        <v>50</v>
      </c>
      <c r="N63" s="1" t="n">
        <v>512</v>
      </c>
      <c r="O63" s="1" t="n">
        <v>100</v>
      </c>
      <c r="P63" s="1" t="n">
        <v>50</v>
      </c>
      <c r="Q63" s="1" t="inlineStr">
        <is>
          <t>선반가이드</t>
        </is>
      </c>
      <c r="R63" s="1" t="inlineStr">
        <is>
          <t>정상 생산 가능 (50 Set)</t>
        </is>
      </c>
    </row>
    <row r="64">
      <c r="B64" s="1" t="inlineStr">
        <is>
          <t>블랙삼각선반</t>
        </is>
      </c>
      <c r="C64" s="1" t="inlineStr">
        <is>
          <t>블랙코너선반가이드</t>
        </is>
      </c>
      <c r="D64" s="1" t="inlineStr">
        <is>
          <t>블랙선반브라켓</t>
        </is>
      </c>
      <c r="E64" s="1" t="inlineStr">
        <is>
          <t>비닐</t>
        </is>
      </c>
      <c r="F64" s="1" t="inlineStr">
        <is>
          <t>칼브럭피스</t>
        </is>
      </c>
      <c r="K64" s="1" t="inlineStr">
        <is>
          <t>블랙 오각선반</t>
        </is>
      </c>
      <c r="L64" s="1" t="n">
        <v>1050</v>
      </c>
      <c r="M64" s="1" t="n">
        <v>100</v>
      </c>
      <c r="N64" s="1" t="n">
        <v>512</v>
      </c>
      <c r="O64" s="1" t="n">
        <v>100</v>
      </c>
      <c r="P64" s="1" t="n">
        <v>100</v>
      </c>
      <c r="Q64" s="1" t="inlineStr">
        <is>
          <t>선반가이드</t>
        </is>
      </c>
      <c r="R64" s="1" t="inlineStr">
        <is>
          <t>정상 생산 가능 (100 Set)</t>
        </is>
      </c>
    </row>
    <row r="65">
      <c r="B65" s="1" t="n">
        <v>325</v>
      </c>
      <c r="C65" s="1" t="n">
        <v>500</v>
      </c>
      <c r="D65" s="1" t="n">
        <v>1824</v>
      </c>
      <c r="E65" s="1" t="n">
        <v>1000</v>
      </c>
      <c r="F65" s="1" t="n">
        <v>1000</v>
      </c>
      <c r="K65" s="1" t="inlineStr">
        <is>
          <t>코너선반</t>
        </is>
      </c>
      <c r="L65" s="1" t="n">
        <v>25</v>
      </c>
      <c r="M65" s="1" t="n">
        <v>750</v>
      </c>
      <c r="N65" s="1" t="n">
        <v>300</v>
      </c>
      <c r="O65" s="1" t="n">
        <v>100</v>
      </c>
      <c r="P65" s="1" t="n">
        <v>25</v>
      </c>
      <c r="Q65" s="1" t="inlineStr">
        <is>
          <t>유리선반</t>
        </is>
      </c>
      <c r="R65" s="1" t="inlineStr">
        <is>
          <t>정상 생산 가능 (25 Set)</t>
        </is>
      </c>
    </row>
    <row r="66">
      <c r="B66" s="1" t="inlineStr">
        <is>
          <t>블랙일자선반</t>
        </is>
      </c>
      <c r="C66" s="1" t="inlineStr">
        <is>
          <t>블랙일자선반가이드</t>
        </is>
      </c>
      <c r="K66" s="1" t="inlineStr">
        <is>
          <t>일자선반</t>
        </is>
      </c>
      <c r="L66" s="1" t="n">
        <v>280</v>
      </c>
      <c r="M66" s="1" t="n">
        <v>50</v>
      </c>
      <c r="N66" s="1" t="n">
        <v>300</v>
      </c>
      <c r="O66" s="1" t="n">
        <v>100</v>
      </c>
      <c r="P66" s="1" t="n">
        <v>50</v>
      </c>
      <c r="Q66" s="1" t="inlineStr">
        <is>
          <t>선반가이드</t>
        </is>
      </c>
      <c r="R66" s="1" t="inlineStr">
        <is>
          <t>정상 생산 가능 (50 Set)</t>
        </is>
      </c>
    </row>
    <row r="67">
      <c r="B67" s="1" t="n">
        <v>200</v>
      </c>
      <c r="C67" s="1" t="n">
        <v>0</v>
      </c>
      <c r="K67" s="1" t="inlineStr">
        <is>
          <t>오각선반</t>
        </is>
      </c>
      <c r="L67" s="1" t="n">
        <v>850</v>
      </c>
      <c r="M67" s="1" t="n">
        <v>100</v>
      </c>
      <c r="N67" s="1" t="n">
        <v>300</v>
      </c>
      <c r="O67" s="1" t="n">
        <v>100</v>
      </c>
      <c r="P67" s="1" t="n">
        <v>100</v>
      </c>
      <c r="Q67" s="1" t="inlineStr">
        <is>
          <t>선반가이드</t>
        </is>
      </c>
      <c r="R67" s="1" t="inlineStr">
        <is>
          <t>정상 생산 가능 (100 Set)</t>
        </is>
      </c>
    </row>
    <row r="68">
      <c r="B68" s="1" t="inlineStr">
        <is>
          <t>블랙오각선반</t>
        </is>
      </c>
    </row>
    <row r="69">
      <c r="B69" s="1" t="n">
        <v>1150</v>
      </c>
      <c r="R69" s="1" t="inlineStr">
        <is>
          <t>단계</t>
        </is>
      </c>
    </row>
    <row r="70">
      <c r="B70" s="1" t="inlineStr">
        <is>
          <t>그린삼각선반</t>
        </is>
      </c>
      <c r="C70" s="1" t="inlineStr">
        <is>
          <t>크롬코너선반가이드</t>
        </is>
      </c>
      <c r="D70" s="1" t="inlineStr">
        <is>
          <t>크롬선반브라켓</t>
        </is>
      </c>
      <c r="K70" s="1" t="inlineStr">
        <is>
          <t>완제품 생산 계획 수량 입력</t>
        </is>
      </c>
    </row>
    <row r="71">
      <c r="B71" s="1" t="n">
        <v>525</v>
      </c>
      <c r="C71" s="1" t="n">
        <v>1250</v>
      </c>
      <c r="D71" s="1" t="n">
        <v>1250</v>
      </c>
      <c r="K71" s="1" t="inlineStr">
        <is>
          <t>완제품 품목</t>
        </is>
      </c>
      <c r="L71" s="1" t="inlineStr">
        <is>
          <t>생산 계획 수량</t>
        </is>
      </c>
      <c r="M71" s="1" t="inlineStr">
        <is>
          <t>최대 가능 수량</t>
        </is>
      </c>
      <c r="N71" s="1" t="inlineStr">
        <is>
          <t>생산 가능 여부</t>
        </is>
      </c>
    </row>
    <row r="72">
      <c r="B72" s="1" t="inlineStr">
        <is>
          <t>그린일자선반</t>
        </is>
      </c>
      <c r="C72" s="1" t="inlineStr">
        <is>
          <t>크롬일자선반가이드</t>
        </is>
      </c>
      <c r="K72" s="1" t="inlineStr">
        <is>
          <t>블랙코너선반</t>
        </is>
      </c>
      <c r="L72" s="1" t="n">
        <v>300</v>
      </c>
      <c r="M72" s="1" t="n">
        <v>20</v>
      </c>
      <c r="N72" s="1" t="inlineStr">
        <is>
          <t>생산 불가 (초과)</t>
        </is>
      </c>
    </row>
    <row r="73">
      <c r="B73" s="1" t="n">
        <v>280</v>
      </c>
      <c r="C73" s="1" t="n">
        <v>0</v>
      </c>
      <c r="K73" s="1" t="inlineStr">
        <is>
          <t>블랙일자선반</t>
        </is>
      </c>
      <c r="L73" s="1" t="n">
        <v>0</v>
      </c>
      <c r="M73" s="1" t="n">
        <v>50</v>
      </c>
      <c r="N73" s="1" t="inlineStr">
        <is>
          <t>-</t>
        </is>
      </c>
    </row>
    <row r="74">
      <c r="B74" s="1" t="inlineStr">
        <is>
          <t>그린오각선반</t>
        </is>
      </c>
      <c r="K74" s="1" t="inlineStr">
        <is>
          <t>블랙 오각선반</t>
        </is>
      </c>
      <c r="L74" s="1" t="n">
        <v>100</v>
      </c>
      <c r="M74" s="1" t="n">
        <v>100</v>
      </c>
      <c r="N74" s="1" t="inlineStr">
        <is>
          <t>생산 가능</t>
        </is>
      </c>
    </row>
    <row r="75">
      <c r="B75" s="1" t="n">
        <v>850</v>
      </c>
      <c r="K75" s="1" t="inlineStr">
        <is>
          <t>코너선반</t>
        </is>
      </c>
      <c r="L75" s="1" t="n">
        <v>500</v>
      </c>
      <c r="M75" s="1" t="n">
        <v>25</v>
      </c>
      <c r="N75" s="1" t="inlineStr">
        <is>
          <t>생산 불가 (초과)</t>
        </is>
      </c>
    </row>
    <row r="76">
      <c r="K76" s="1" t="inlineStr">
        <is>
          <t>일자선반</t>
        </is>
      </c>
      <c r="L76" s="1" t="n">
        <v>0</v>
      </c>
      <c r="M76" s="1" t="n">
        <v>50</v>
      </c>
      <c r="N76" s="1" t="inlineStr">
        <is>
          <t>-</t>
        </is>
      </c>
    </row>
    <row r="77">
      <c r="K77" s="1" t="inlineStr">
        <is>
          <t>오각선반</t>
        </is>
      </c>
      <c r="L77" s="1" t="n">
        <v>0</v>
      </c>
      <c r="M77" s="1" t="n">
        <v>100</v>
      </c>
      <c r="N77" s="1" t="inlineStr">
        <is>
          <t>-</t>
        </is>
      </c>
    </row>
    <row r="78">
      <c r="K78" s="1" t="inlineStr">
        <is>
          <t>합계</t>
        </is>
      </c>
      <c r="L78" s="1" t="n">
        <v>900</v>
      </c>
      <c r="M78" s="1" t="n">
        <v>345</v>
      </c>
      <c r="N78" s="1" t="inlineStr">
        <is>
          <t>일부 초과</t>
        </is>
      </c>
    </row>
    <row r="80">
      <c r="K80" s="1" t="inlineStr">
        <is>
          <t>부품별 총 소요량 및 재고 과부족 분석</t>
        </is>
      </c>
    </row>
    <row r="81">
      <c r="K81" s="1" t="inlineStr">
        <is>
          <t>부품명</t>
        </is>
      </c>
      <c r="L81" s="1" t="inlineStr">
        <is>
          <t>구분</t>
        </is>
      </c>
      <c r="M81" s="1" t="inlineStr">
        <is>
          <t>단위</t>
        </is>
      </c>
      <c r="N81" s="1" t="inlineStr">
        <is>
          <t>현재고</t>
        </is>
      </c>
      <c r="O81" s="1" t="inlineStr">
        <is>
          <t>총 소요량</t>
        </is>
      </c>
      <c r="P81" s="1" t="inlineStr">
        <is>
          <t>예상 잔여재고</t>
        </is>
      </c>
      <c r="Q81" s="1" t="inlineStr">
        <is>
          <t>과부족 판정</t>
        </is>
      </c>
      <c r="R81" s="1" t="inlineStr">
        <is>
          <t>필요 발주량</t>
        </is>
      </c>
    </row>
    <row r="82">
      <c r="K82" s="1" t="inlineStr">
        <is>
          <t>블랙삼각선반</t>
        </is>
      </c>
      <c r="L82" s="1" t="inlineStr">
        <is>
          <t>유리선반</t>
        </is>
      </c>
      <c r="M82" s="1" t="inlineStr">
        <is>
          <t>EA</t>
        </is>
      </c>
      <c r="N82" s="1" t="n">
        <v>20</v>
      </c>
      <c r="O82" s="1" t="n">
        <v>300</v>
      </c>
      <c r="P82" s="1" t="n">
        <v>-280</v>
      </c>
      <c r="Q82" s="1" t="inlineStr">
        <is>
          <t>부족</t>
        </is>
      </c>
      <c r="R82" s="1" t="n">
        <v>280</v>
      </c>
    </row>
    <row r="83">
      <c r="K83" s="1" t="inlineStr">
        <is>
          <t>블랙일자선반</t>
        </is>
      </c>
      <c r="L83" s="1" t="inlineStr">
        <is>
          <t>유리선반</t>
        </is>
      </c>
      <c r="M83" s="1" t="inlineStr">
        <is>
          <t>EA</t>
        </is>
      </c>
      <c r="N83" s="1" t="n">
        <v>200</v>
      </c>
      <c r="O83" s="1" t="n">
        <v>0</v>
      </c>
      <c r="P83" s="1" t="n">
        <v>200</v>
      </c>
      <c r="Q83" s="1" t="inlineStr">
        <is>
          <t>정상</t>
        </is>
      </c>
      <c r="R83" s="1" t="n">
        <v>0</v>
      </c>
    </row>
    <row r="84">
      <c r="K84" s="1" t="inlineStr">
        <is>
          <t>블랙오각선반</t>
        </is>
      </c>
      <c r="L84" s="1" t="inlineStr">
        <is>
          <t>유리선반</t>
        </is>
      </c>
      <c r="M84" s="1" t="inlineStr">
        <is>
          <t>EA</t>
        </is>
      </c>
      <c r="N84" s="1" t="n">
        <v>1050</v>
      </c>
      <c r="O84" s="1" t="n">
        <v>100</v>
      </c>
      <c r="P84" s="1" t="n">
        <v>950</v>
      </c>
      <c r="Q84" s="1" t="inlineStr">
        <is>
          <t>정상</t>
        </is>
      </c>
      <c r="R84" s="1" t="n">
        <v>0</v>
      </c>
    </row>
    <row r="85">
      <c r="K85" s="1" t="inlineStr">
        <is>
          <t>그린삼각선반</t>
        </is>
      </c>
      <c r="L85" s="1" t="inlineStr">
        <is>
          <t>유리선반</t>
        </is>
      </c>
      <c r="M85" s="1" t="inlineStr">
        <is>
          <t>EA</t>
        </is>
      </c>
      <c r="N85" s="1" t="n">
        <v>25</v>
      </c>
      <c r="O85" s="1" t="n">
        <v>500</v>
      </c>
      <c r="P85" s="1" t="n">
        <v>-475</v>
      </c>
      <c r="Q85" s="1" t="inlineStr">
        <is>
          <t>부족</t>
        </is>
      </c>
      <c r="R85" s="1" t="n">
        <v>475</v>
      </c>
    </row>
    <row r="86">
      <c r="K86" s="1" t="inlineStr">
        <is>
          <t>그린일자선반</t>
        </is>
      </c>
      <c r="L86" s="1" t="inlineStr">
        <is>
          <t>유리선반</t>
        </is>
      </c>
      <c r="M86" s="1" t="inlineStr">
        <is>
          <t>EA</t>
        </is>
      </c>
      <c r="N86" s="1" t="n">
        <v>280</v>
      </c>
      <c r="O86" s="1" t="n">
        <v>0</v>
      </c>
      <c r="P86" s="1" t="n">
        <v>280</v>
      </c>
      <c r="Q86" s="1" t="inlineStr">
        <is>
          <t>정상</t>
        </is>
      </c>
      <c r="R86" s="1" t="n">
        <v>0</v>
      </c>
    </row>
    <row r="87">
      <c r="K87" s="1" t="inlineStr">
        <is>
          <t>그린오각선반</t>
        </is>
      </c>
      <c r="L87" s="1" t="inlineStr">
        <is>
          <t>유리선반</t>
        </is>
      </c>
      <c r="M87" s="1" t="inlineStr">
        <is>
          <t>EA</t>
        </is>
      </c>
      <c r="N87" s="1" t="n">
        <v>850</v>
      </c>
      <c r="O87" s="1" t="n">
        <v>0</v>
      </c>
      <c r="P87" s="1" t="n">
        <v>850</v>
      </c>
      <c r="Q87" s="1" t="inlineStr">
        <is>
          <t>정상</t>
        </is>
      </c>
      <c r="R87" s="1" t="n">
        <v>0</v>
      </c>
    </row>
    <row r="88">
      <c r="K88" s="1" t="inlineStr">
        <is>
          <t>블랙코너선반가이드</t>
        </is>
      </c>
      <c r="L88" s="1" t="inlineStr">
        <is>
          <t>선반가이드</t>
        </is>
      </c>
      <c r="M88" s="1" t="inlineStr">
        <is>
          <t>EA</t>
        </is>
      </c>
      <c r="N88" s="1" t="n">
        <v>200</v>
      </c>
      <c r="O88" s="1" t="n">
        <v>300</v>
      </c>
      <c r="P88" s="1" t="n">
        <v>-100</v>
      </c>
      <c r="Q88" s="1" t="inlineStr">
        <is>
          <t>부족</t>
        </is>
      </c>
      <c r="R88" s="1" t="n">
        <v>100</v>
      </c>
    </row>
    <row r="89">
      <c r="K89" s="1" t="inlineStr">
        <is>
          <t>블랙일자선반가이드</t>
        </is>
      </c>
      <c r="L89" s="1" t="inlineStr">
        <is>
          <t>선반가이드</t>
        </is>
      </c>
      <c r="M89" s="1" t="inlineStr">
        <is>
          <t>EA</t>
        </is>
      </c>
      <c r="N89" s="1" t="n">
        <v>100</v>
      </c>
      <c r="O89" s="1" t="n">
        <v>100</v>
      </c>
      <c r="P89" s="1" t="n">
        <v>0</v>
      </c>
      <c r="Q89" s="1" t="inlineStr">
        <is>
          <t>정상</t>
        </is>
      </c>
      <c r="R89" s="1" t="n">
        <v>0</v>
      </c>
    </row>
    <row r="90">
      <c r="K90" s="1" t="inlineStr">
        <is>
          <t>크롬코너선반가이드</t>
        </is>
      </c>
      <c r="L90" s="1" t="inlineStr">
        <is>
          <t>선반가이드</t>
        </is>
      </c>
      <c r="M90" s="1" t="inlineStr">
        <is>
          <t>EA</t>
        </is>
      </c>
      <c r="N90" s="1" t="n">
        <v>750</v>
      </c>
      <c r="O90" s="1" t="n">
        <v>500</v>
      </c>
      <c r="P90" s="1" t="n">
        <v>250</v>
      </c>
      <c r="Q90" s="1" t="inlineStr">
        <is>
          <t>정상</t>
        </is>
      </c>
      <c r="R90" s="1" t="n">
        <v>0</v>
      </c>
    </row>
    <row r="91">
      <c r="K91" s="1" t="inlineStr">
        <is>
          <t>크롬일자선반가이드</t>
        </is>
      </c>
      <c r="L91" s="1" t="inlineStr">
        <is>
          <t>선반가이드</t>
        </is>
      </c>
      <c r="M91" s="1" t="inlineStr">
        <is>
          <t>EA</t>
        </is>
      </c>
      <c r="N91" s="1" t="n">
        <v>100</v>
      </c>
      <c r="O91" s="1" t="n">
        <v>0</v>
      </c>
      <c r="P91" s="1" t="n">
        <v>100</v>
      </c>
      <c r="Q91" s="1" t="inlineStr">
        <is>
          <t>정상</t>
        </is>
      </c>
      <c r="R91" s="1" t="n">
        <v>0</v>
      </c>
    </row>
    <row r="92">
      <c r="K92" s="1" t="inlineStr">
        <is>
          <t>블랙선반브라켓</t>
        </is>
      </c>
      <c r="L92" s="1" t="inlineStr">
        <is>
          <t>선반브라켓</t>
        </is>
      </c>
      <c r="M92" s="1" t="inlineStr">
        <is>
          <t>EA</t>
        </is>
      </c>
      <c r="N92" s="1" t="n">
        <v>1024</v>
      </c>
      <c r="O92" s="1" t="n">
        <v>800</v>
      </c>
      <c r="P92" s="1" t="n">
        <v>224</v>
      </c>
      <c r="Q92" s="1" t="inlineStr">
        <is>
          <t>정상</t>
        </is>
      </c>
      <c r="R92" s="1" t="n">
        <v>0</v>
      </c>
    </row>
    <row r="93">
      <c r="K93" s="1" t="inlineStr">
        <is>
          <t>크롬선반브라켓</t>
        </is>
      </c>
      <c r="L93" s="1" t="inlineStr">
        <is>
          <t>선반브라켓</t>
        </is>
      </c>
      <c r="M93" s="1" t="inlineStr">
        <is>
          <t>EA</t>
        </is>
      </c>
      <c r="N93" s="1" t="n">
        <v>600</v>
      </c>
      <c r="O93" s="1" t="n">
        <v>1000</v>
      </c>
      <c r="P93" s="1" t="n">
        <v>-400</v>
      </c>
      <c r="Q93" s="1" t="inlineStr">
        <is>
          <t>부족</t>
        </is>
      </c>
      <c r="R93" s="1" t="n">
        <v>400</v>
      </c>
    </row>
    <row r="94">
      <c r="K94" s="1" t="inlineStr">
        <is>
          <t>비닐</t>
        </is>
      </c>
      <c r="L94" s="1" t="inlineStr">
        <is>
          <t>공통부자재</t>
        </is>
      </c>
      <c r="M94" s="1" t="inlineStr">
        <is>
          <t>EA</t>
        </is>
      </c>
      <c r="N94" s="1" t="n">
        <v>600</v>
      </c>
      <c r="O94" s="1" t="n">
        <v>900</v>
      </c>
      <c r="P94" s="1" t="n">
        <v>-300</v>
      </c>
      <c r="Q94" s="1" t="inlineStr">
        <is>
          <t>부족</t>
        </is>
      </c>
      <c r="R94" s="1" t="n">
        <v>300</v>
      </c>
    </row>
    <row r="95">
      <c r="K95" s="1" t="inlineStr">
        <is>
          <t>칼브럭피스</t>
        </is>
      </c>
      <c r="L95" s="1" t="inlineStr">
        <is>
          <t>공통부자재</t>
        </is>
      </c>
      <c r="M95" s="1" t="inlineStr">
        <is>
          <t>EA</t>
        </is>
      </c>
      <c r="N95" s="1" t="n">
        <v>100</v>
      </c>
      <c r="O95" s="1" t="n">
        <v>900</v>
      </c>
      <c r="P95" s="1" t="n">
        <v>-800</v>
      </c>
      <c r="Q95" s="1" t="inlineStr">
        <is>
          <t>부족</t>
        </is>
      </c>
      <c r="R95" s="1" t="n">
        <v>800</v>
      </c>
    </row>
    <row r="96">
      <c r="K96" s="1" t="inlineStr">
        <is>
          <t>합계</t>
        </is>
      </c>
      <c r="N96" s="1" t="n">
        <v>5899</v>
      </c>
      <c r="O96" s="1" t="n">
        <v>5400</v>
      </c>
      <c r="P96" s="1" t="n">
        <v>499</v>
      </c>
      <c r="Q96" s="1" t="inlineStr">
        <is>
          <t>부족 6건</t>
        </is>
      </c>
      <c r="R96" s="1" t="n">
        <v>2355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완제품 출하 관리</t>
        </is>
      </c>
    </row>
    <row r="4"/>
    <row r="5"/>
    <row r="6"/>
    <row r="7"/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2026-09-18T14:16:00Z</dcterms:created>
  <dcterms:modified xmlns:dcterms="http://purl.org/dc/terms/" xmlns:xsi="http://www.w3.org/2001/XMLSchema-instance" xsi:type="dcterms:W3CDTF">2026-09-20T09:09:26Z</dcterms:modified>
  <cp:lastModifiedBy>mr_lee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8ECFC5BB8D8146288194C2AC92A3174D_12</vt:lpwstr>
  </property>
  <property name="KSOProductBuildVer" fmtid="{D5CDD505-2E9C-101B-9397-08002B2CF9AE}" pid="3">
    <vt:lpwstr xmlns:vt="http://schemas.openxmlformats.org/officeDocument/2006/docPropsVTypes">1042-12.1.0.28485</vt:lpwstr>
  </property>
  <property name="CalculationRule" fmtid="{D5CDD505-2E9C-101B-9397-08002B2CF9AE}" pid="4">
    <vt:i4 xmlns:vt="http://schemas.openxmlformats.org/officeDocument/2006/docPropsVTypes">0</vt:i4>
  </property>
</Properties>
</file>